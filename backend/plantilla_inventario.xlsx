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Inventario" sheetId="1" r:id="rId4"/>
    <sheet state="hidden" name="Inventario_viejo" sheetId="2" r:id="rId5"/>
  </sheets>
  <definedNames/>
  <calcPr/>
  <extLst>
    <ext uri="GoogleSheetsCustomDataVersion2">
      <go:sheetsCustomData xmlns:go="http://customooxmlschemas.google.com/" r:id="rId6" roundtripDataChecksum="gUt1hvfRvwfsT0pqNxYI6zU4ThmRlbIgHAyqnJbu34Q="/>
    </ext>
  </extLst>
</workbook>
</file>

<file path=xl/sharedStrings.xml><?xml version="1.0" encoding="utf-8"?>
<sst xmlns="http://schemas.openxmlformats.org/spreadsheetml/2006/main" count="3198" uniqueCount="1280">
  <si>
    <t>Código de Barras</t>
  </si>
  <si>
    <t>ESTANTE LARSSON</t>
  </si>
  <si>
    <t>Producto / Nombre</t>
  </si>
  <si>
    <t>Marca</t>
  </si>
  <si>
    <t>Cantidad (Stock)</t>
  </si>
  <si>
    <t xml:space="preserve">Precio Neto </t>
  </si>
  <si>
    <t>Impuestos</t>
  </si>
  <si>
    <t>Precio Venta</t>
  </si>
  <si>
    <t>Categoría</t>
  </si>
  <si>
    <t>PRODUCTOS</t>
  </si>
  <si>
    <t>7591260070856</t>
  </si>
  <si>
    <t>CANTIDAD</t>
  </si>
  <si>
    <t>ACEITE 5X1 SQ (GOTERO)</t>
  </si>
  <si>
    <t>P.UNIT</t>
  </si>
  <si>
    <t>SQ</t>
  </si>
  <si>
    <t>VENDIDOS</t>
  </si>
  <si>
    <t>TOTAL</t>
  </si>
  <si>
    <t>IMPUESTOS</t>
  </si>
  <si>
    <t>SUBTOTAL</t>
  </si>
  <si>
    <t>TOTAL DÓLAR</t>
  </si>
  <si>
    <t>CEPILLO LARSSON REAR TECH 8"</t>
  </si>
  <si>
    <t>Multiusos / Lubricantes</t>
  </si>
  <si>
    <t>7591260070795</t>
  </si>
  <si>
    <t>ACEITE 5X1 SQ (SPRAY)</t>
  </si>
  <si>
    <t>7598188000231</t>
  </si>
  <si>
    <t>ACEITE POWERSTEARING FLUIDS CHRONUS (473ml)</t>
  </si>
  <si>
    <t>CHRONUS</t>
  </si>
  <si>
    <t>CEPILLO LARSSON REAR TECH 9"</t>
  </si>
  <si>
    <t>071153002043</t>
  </si>
  <si>
    <t>ACEITE POWERSTEARING FLUIDS STP (354ml)</t>
  </si>
  <si>
    <t>STP</t>
  </si>
  <si>
    <t>CEPILLO LARSSON REAR TECH 10"</t>
  </si>
  <si>
    <t>N/A</t>
  </si>
  <si>
    <t>CEPILLO LARSSON REAR TECH 11"</t>
  </si>
  <si>
    <t>ACEITE POWERSTEARING FLUIDS STP (946ml)</t>
  </si>
  <si>
    <t>0740111725040</t>
  </si>
  <si>
    <t>ACEITE ROYAL 80W-90 TRASMISION</t>
  </si>
  <si>
    <t>ROYAL</t>
  </si>
  <si>
    <t>CEPILLO LARSSON REAR TECH 12"</t>
  </si>
  <si>
    <t>7598870000907</t>
  </si>
  <si>
    <t>ACEITE GLOBAL OIL 80W-90 TRASMISION</t>
  </si>
  <si>
    <t>GLOBAL OIL</t>
  </si>
  <si>
    <t>75996559000118</t>
  </si>
  <si>
    <t>ACEITE VOLTEX 85W-140 MINERAL TRASMISION</t>
  </si>
  <si>
    <t xml:space="preserve">VOLTEX </t>
  </si>
  <si>
    <t>CEPILLO LARSSON REAR TECH 13"</t>
  </si>
  <si>
    <t>ACEITE DAUER M5 ATF SYNTHETIC (946ml)</t>
  </si>
  <si>
    <t xml:space="preserve">DAUER </t>
  </si>
  <si>
    <t>816645011727</t>
  </si>
  <si>
    <t>ACEITE DAUER CVT ATF SYNTHETIC (946ml)</t>
  </si>
  <si>
    <t>CEPILLO LARSSON REAR TECH 14"</t>
  </si>
  <si>
    <t>7596433041671</t>
  </si>
  <si>
    <t>ACEITE KYOTO CVT FE (946ml)</t>
  </si>
  <si>
    <t>CEPILLO LARSSON FLEX TECH 12"</t>
  </si>
  <si>
    <t xml:space="preserve">KYOTO </t>
  </si>
  <si>
    <t>7898319232242</t>
  </si>
  <si>
    <t>ACEITE BLUE1 ATF DX IV (1L)</t>
  </si>
  <si>
    <t xml:space="preserve">BLUE1 </t>
  </si>
  <si>
    <t>CEPILLO LARSSON FLEX TECH 13"</t>
  </si>
  <si>
    <t>ACEITE PROFORCE DEXRON III (946ml)</t>
  </si>
  <si>
    <t xml:space="preserve">PROFORCE </t>
  </si>
  <si>
    <t>ACEITE XPESO DEXRON III (946ml)</t>
  </si>
  <si>
    <t xml:space="preserve">XPESO </t>
  </si>
  <si>
    <t>CEPILLO LARSSON FLEX TECH 14"</t>
  </si>
  <si>
    <t>840984173099</t>
  </si>
  <si>
    <t>ACEITE MOPAR ATF+4  SYNTHETIC (946ml)</t>
  </si>
  <si>
    <t>MOPAR</t>
  </si>
  <si>
    <t>7599659000071</t>
  </si>
  <si>
    <t>ACEITE VOLTEX DEXRON III (946ml)</t>
  </si>
  <si>
    <t>Aceite / Transmisión</t>
  </si>
  <si>
    <t>7898319231603</t>
  </si>
  <si>
    <t>ACEITE SUPERIOR DEXRON III (1L)</t>
  </si>
  <si>
    <t xml:space="preserve">SUPERIOR </t>
  </si>
  <si>
    <t>CEPILLO LARSSON FLEX TECH 15"</t>
  </si>
  <si>
    <t>7501247408121</t>
  </si>
  <si>
    <t>ACEITE GONHER ATF DEXRON III (946ml)</t>
  </si>
  <si>
    <t xml:space="preserve">GONHER </t>
  </si>
  <si>
    <t>7598188000149</t>
  </si>
  <si>
    <t>ACEITE CHRONUS DEXRON III (946ml)</t>
  </si>
  <si>
    <t>CEPILLO LARSSON FLEX TECH 16"</t>
  </si>
  <si>
    <t>7898319231306</t>
  </si>
  <si>
    <t>ACEITE BLUE1 DEXRON III (1L)</t>
  </si>
  <si>
    <t>CEPILLO LARSSON FLEX TECH 17"</t>
  </si>
  <si>
    <t>7593891000677</t>
  </si>
  <si>
    <t>ACEITE OILVEN ATF DEXRON III (946ml)</t>
  </si>
  <si>
    <t xml:space="preserve">OILVEN </t>
  </si>
  <si>
    <t>7704790200383</t>
  </si>
  <si>
    <t>ACEITE MOBIL ATF DEXRON III (946ml)</t>
  </si>
  <si>
    <t>MOBIL</t>
  </si>
  <si>
    <t>CEPILLO LARSSON FLEX TECH 18"</t>
  </si>
  <si>
    <t>729208125895</t>
  </si>
  <si>
    <t>ACEITE INGRALUB ATF DEXRON III (946ml)</t>
  </si>
  <si>
    <t xml:space="preserve">INGRALUB </t>
  </si>
  <si>
    <t>7591871007968</t>
  </si>
  <si>
    <t>ACEITE ULTRALUB ATF DEXRON III (946ml)</t>
  </si>
  <si>
    <t xml:space="preserve">ULTRALUB </t>
  </si>
  <si>
    <t>CEPILLO LARSSON FLEX TECH 19"</t>
  </si>
  <si>
    <t>ACEITES MOTOR REVISAR</t>
  </si>
  <si>
    <t>CEPILLO LARSSON FLEX TECH 20"</t>
  </si>
  <si>
    <t>ACEITE FC 20W-50 MINERAL (MOTO)</t>
  </si>
  <si>
    <t>Aceite / Moto</t>
  </si>
  <si>
    <t>CEPILLO LARSSON FLEX TECH 21"</t>
  </si>
  <si>
    <t>7593597002586</t>
  </si>
  <si>
    <t>ACEITE OILSTONE 20W-50 MINERAL (MOTO)</t>
  </si>
  <si>
    <t>7593597002685</t>
  </si>
  <si>
    <t>ACEITE SKY 20W-50 4T SEMISINTETICO (946ml) (MOTO)</t>
  </si>
  <si>
    <t>SKY</t>
  </si>
  <si>
    <t>CEPILLO LARSSON FLEX TECH 22"</t>
  </si>
  <si>
    <t>7591871008088</t>
  </si>
  <si>
    <t>ACEITE ULTRALUB 10W-40 4T SEMISINTETICO (1L) (MOTO)</t>
  </si>
  <si>
    <t>CEPILLO LARSSON FLEX TECH 24"</t>
  </si>
  <si>
    <t>7591871008057</t>
  </si>
  <si>
    <t>ACEITE ULTRALUB 20W-50 4T MINERAL (1L) (MOTO)</t>
  </si>
  <si>
    <t>75011390569397</t>
  </si>
  <si>
    <t>ACEITE ROSHFRANS 2T MINERAL (MOTO)</t>
  </si>
  <si>
    <t>CEPILLO LARSSON FLEX TECH 26"</t>
  </si>
  <si>
    <t>ACEITE ROSHFRANS 10W-40 SEMISINTETICO (MOTO)</t>
  </si>
  <si>
    <t>CEPILLO LARSSON FLEX TECH 28"</t>
  </si>
  <si>
    <t>7501390569410</t>
  </si>
  <si>
    <t>ACEITE ROSHFRANS 10W-50 4T 100% SINTETICO (946ml) (MOTO)</t>
  </si>
  <si>
    <t>CEPILLO LARSSON ROBOT TECH 14"</t>
  </si>
  <si>
    <t>ACEITE MOTUL 3000 20W/50 MINERAL (MOTO)</t>
  </si>
  <si>
    <t>3374650247205</t>
  </si>
  <si>
    <t>ACEITE MOTUL 5100 15W/50 SIMISINTETICO (1L) (MOTO)</t>
  </si>
  <si>
    <t>CEPILLO LARSSON ROBOT TECH 16"</t>
  </si>
  <si>
    <t>3700142305120</t>
  </si>
  <si>
    <t>ACEITE IPONE 15W/50 SEMISINTETICO (1L )(MOTO)</t>
  </si>
  <si>
    <t>3700142304994</t>
  </si>
  <si>
    <t>ACEITE IPONE 20W/50 SEMISINTETICO (1L) (MOTO)</t>
  </si>
  <si>
    <t>2140009127</t>
  </si>
  <si>
    <t>ACEITE SHELL 20W/50 PREMIUM MINERAL 4T (1L) (MOTO)</t>
  </si>
  <si>
    <t>SHELL</t>
  </si>
  <si>
    <t>CEPILLO LARSSON ROBOT TECH 17"</t>
  </si>
  <si>
    <t>7898319235571</t>
  </si>
  <si>
    <t>ACEITE BLUE1 15W/40 MINERAL</t>
  </si>
  <si>
    <t>CEPILLO LARSSON ROBOT TECH 18"</t>
  </si>
  <si>
    <t>Aceite / Motor</t>
  </si>
  <si>
    <t>78998319231153</t>
  </si>
  <si>
    <t>ACEITE BLUE1 20W/50 MINERAL</t>
  </si>
  <si>
    <t>CEPILLO LARSSON ROBOT TECH 19"</t>
  </si>
  <si>
    <t>7898319231627</t>
  </si>
  <si>
    <t>ACEITE BLUE1 MAX 25W/60 MINERAL</t>
  </si>
  <si>
    <t>7898319233102</t>
  </si>
  <si>
    <t>CEPILLO LARSSON ROBOT TECH 20"</t>
  </si>
  <si>
    <t>ACEITE BLUE1 5W/30 SEMISINTETICO</t>
  </si>
  <si>
    <t>CEPILLO LARSSON ROBOT TECH 21"</t>
  </si>
  <si>
    <t>7898319235663</t>
  </si>
  <si>
    <t>ACEITE BLUE1 10W/30 SEMISINTETICO</t>
  </si>
  <si>
    <t>CEPILLO LARSSON ROBOT TECH 22"</t>
  </si>
  <si>
    <t>7898319231337</t>
  </si>
  <si>
    <t>ACEITE BLUE1 15W/40 SEMISINTETICO</t>
  </si>
  <si>
    <t>ACEITE CHRONUS 20W/50 MINERAL</t>
  </si>
  <si>
    <t>CEPILLO LARSSON ROBOT TECH 24"</t>
  </si>
  <si>
    <t>ACEITE CHRONUS 15W/40 SEMISINTETICO</t>
  </si>
  <si>
    <t>7598188000972</t>
  </si>
  <si>
    <t>ACEITE CHRONUS 20W/50 SEMISINTETICO</t>
  </si>
  <si>
    <t>CEPILLO LARSSON ROBOT TECH 26"</t>
  </si>
  <si>
    <t>816645010652</t>
  </si>
  <si>
    <t>ACEITE DAUER 10W/30 SEMISINTETICO</t>
  </si>
  <si>
    <t>816645012991</t>
  </si>
  <si>
    <t>ACEITE DAUER 15W/40 SEMISINTETICO</t>
  </si>
  <si>
    <t>ACEITE DAUER 5W/30 SINTETICO</t>
  </si>
  <si>
    <t>4036021524115</t>
  </si>
  <si>
    <t>ACEITE FANFARO 20W/50 MINERAL</t>
  </si>
  <si>
    <t>7596433035496</t>
  </si>
  <si>
    <t>ACEITE FC 20W/50 MINERAL</t>
  </si>
  <si>
    <t>7501247408237</t>
  </si>
  <si>
    <t>ACEITE GONHER 20W/50 MINERAL</t>
  </si>
  <si>
    <t>7501247410506</t>
  </si>
  <si>
    <t>ACEITE GONHER 15W/40 SEMISINTETICO</t>
  </si>
  <si>
    <t>CARRITO DE 4 TRAMOS</t>
  </si>
  <si>
    <t>6290360820415</t>
  </si>
  <si>
    <t>ACEITE GULF 20W/50 MINERAL</t>
  </si>
  <si>
    <t>6290360820675</t>
  </si>
  <si>
    <t>ACEITE GULF 15W/40 SEMISINTETICO</t>
  </si>
  <si>
    <t>ACEITE HIBRYD 10W/30 SINTETICO</t>
  </si>
  <si>
    <t>LIMPIA CAUCHOS SQ (440cm)</t>
  </si>
  <si>
    <t>ACEITE HIBRYD 20W/50 MINERAL</t>
  </si>
  <si>
    <t>7592381001262</t>
  </si>
  <si>
    <t>ACEITE INCA 15W/40 MINERAL</t>
  </si>
  <si>
    <t>7592381001095</t>
  </si>
  <si>
    <t>ACEITE INCA 20W/50 MINERAL</t>
  </si>
  <si>
    <t>7592381001286</t>
  </si>
  <si>
    <t>ACEITE INCA 10W/30 SEMISINTETICO</t>
  </si>
  <si>
    <t>LIMPIA MOTOR SQ (354cm)</t>
  </si>
  <si>
    <t>7592381001293</t>
  </si>
  <si>
    <t>ACEITE INCA 15W/40 SEMISINTETICO</t>
  </si>
  <si>
    <t>7592381001279</t>
  </si>
  <si>
    <t>ACEITE INCA 20W/50 SEMISINTETICO</t>
  </si>
  <si>
    <t>LIMPIA CARBURADOR SQ (354cm)</t>
  </si>
  <si>
    <t>729208126038</t>
  </si>
  <si>
    <t>ACEITE INGRALUB 20W/50 MINERAL</t>
  </si>
  <si>
    <t>729208126090</t>
  </si>
  <si>
    <t>ACEITE INGRALUB 15W/40 SEMISINTETICO</t>
  </si>
  <si>
    <t>LIMPIA TAPICERIA VELOUR (354cm)</t>
  </si>
  <si>
    <t>7593186001679</t>
  </si>
  <si>
    <t>ACEITE KRS 15W/40 MINERAL</t>
  </si>
  <si>
    <t>7593186001686</t>
  </si>
  <si>
    <t>ACEITE KRS 20W/50 MINERAL</t>
  </si>
  <si>
    <t>LIMPIADOR DE CUERO SQ (360cm)</t>
  </si>
  <si>
    <t>7593186001693</t>
  </si>
  <si>
    <t>ACEITE KRS 15W/40 SEMISINTETICO</t>
  </si>
  <si>
    <t>7593186001709</t>
  </si>
  <si>
    <t>ACEITE KRS 20W/50 SEMISINTETICO</t>
  </si>
  <si>
    <t>SILICON ABRILLANTADOR MORADO SQ (SPRAY) (354cm)</t>
  </si>
  <si>
    <t>ACEITE LMV OPAL 15W/40 MINERAL</t>
  </si>
  <si>
    <t>7593186000528</t>
  </si>
  <si>
    <t>ACEITE LMV TEFLOLUB 20W/50 MINERAL</t>
  </si>
  <si>
    <t>SILICON ABRILLANTADOR VERDE SQ (SPRAY) (354cm)</t>
  </si>
  <si>
    <t>ACEITE LMV PALADIUM 20W/50 MINERAL</t>
  </si>
  <si>
    <t>6290101123874</t>
  </si>
  <si>
    <t>ACEITE LUBREX 20W/50 MINERAL</t>
  </si>
  <si>
    <t>SILICON ABRILLANTADOR ROJO SQ (SPRAY) (354cm)</t>
  </si>
  <si>
    <t>6290101132524</t>
  </si>
  <si>
    <t>ACEITE LUBREX 15W/40 SEMISINTETICO</t>
  </si>
  <si>
    <t>SILIFLON SQ (MOTOS)</t>
  </si>
  <si>
    <t>ACEITE LUBREX 10W/30 SEMISINTETICO</t>
  </si>
  <si>
    <t>7426967645031</t>
  </si>
  <si>
    <t>ACEITE LUBRIKON 20W/50 MINERAL</t>
  </si>
  <si>
    <t>7704790204954</t>
  </si>
  <si>
    <t>ACEITE MOBIL 1000 SUPER 20W/50 MINERAL</t>
  </si>
  <si>
    <t>7704790204916</t>
  </si>
  <si>
    <t>ACEITE MOBIL 2000 SUPER 5W/30 SEMISINTETICO</t>
  </si>
  <si>
    <t>7704790204862</t>
  </si>
  <si>
    <t>ACEITE MOBIL 2000 SUPER 10W/30 SEMISINTETICO</t>
  </si>
  <si>
    <t>7704790206064</t>
  </si>
  <si>
    <t>ACEITE MOBIL DELVAC 15W/40 SEMISINTETICO</t>
  </si>
  <si>
    <t>FORMULA MECANICA SQ (354cm)</t>
  </si>
  <si>
    <t>031508054684</t>
  </si>
  <si>
    <t>ACEITE MOTORCRAFT 5W/30 SEMISINTETICO</t>
  </si>
  <si>
    <t>031508054615</t>
  </si>
  <si>
    <t>FORMULA MARINA SQ (354cm)</t>
  </si>
  <si>
    <t>ACEITE MOTORCRAFT 10W/30 SEMISINTETICO</t>
  </si>
  <si>
    <t>3374650416595</t>
  </si>
  <si>
    <t>ACEITE MOTUL 2000 PROTEC 20W/50 MINERAL</t>
  </si>
  <si>
    <t>AGARRE ANTIDESLIZANTE CORREA SQ (354cm)</t>
  </si>
  <si>
    <t>3374650420042</t>
  </si>
  <si>
    <t>ACEITE MOTUL 4100 SYN-NERGY 10W/30 SEMISINTETICO</t>
  </si>
  <si>
    <t>3374650415949</t>
  </si>
  <si>
    <t>ACEITE MOTUL 4100 SYN-NERGY 15W/40 SINTETICO</t>
  </si>
  <si>
    <t>3374650281667</t>
  </si>
  <si>
    <t>ACEITE MOTUL 8100 ECO-LITE 0W/20 SINTETICO</t>
  </si>
  <si>
    <t>AGUA DESTILADA SPEED7</t>
  </si>
  <si>
    <t>7593597002928</t>
  </si>
  <si>
    <t>ACEITE OILSTONE 15W/40 MINERAL</t>
  </si>
  <si>
    <t>7593597000940</t>
  </si>
  <si>
    <t>ACEITE OILSTONE 20W/50 MINERAL</t>
  </si>
  <si>
    <t>7593597000957</t>
  </si>
  <si>
    <t>GRASA DE ESMERILAR VALVULA PERMATEX</t>
  </si>
  <si>
    <t>ACEITE OILSTONE 25W/60 MINERAL</t>
  </si>
  <si>
    <t>7593597005365</t>
  </si>
  <si>
    <t>ACEITE OILSTONE R500 15W/40 SEMISINTETICO</t>
  </si>
  <si>
    <t>7593891000028</t>
  </si>
  <si>
    <t>ACEITE OILVEN SUPER PREMIUN 20W/50 MINERAL</t>
  </si>
  <si>
    <t>SILICON Q7 FRESA</t>
  </si>
  <si>
    <t>7593891003340</t>
  </si>
  <si>
    <t>ACEITE OILVEN 10W/30 SEMISINTETICO</t>
  </si>
  <si>
    <t>7593891000387</t>
  </si>
  <si>
    <t>ACEITE OILVEN 15W/40 SEMISINTETICO</t>
  </si>
  <si>
    <t>PORCELANIZACION SQ GRANDE</t>
  </si>
  <si>
    <t>7593891000394</t>
  </si>
  <si>
    <t>ACEITE OILVEN 20W/50 SEMISINTETICO</t>
  </si>
  <si>
    <t>ACEITE PDV 15W/40 SEMISINTETICO</t>
  </si>
  <si>
    <t>PULITURA SQ GRANDE</t>
  </si>
  <si>
    <t>ACEITE PROFORCE 20W/50 MINERAL</t>
  </si>
  <si>
    <t>7501390569380</t>
  </si>
  <si>
    <t>ACEITE ROSHFRANS 20W/50 MINERAL</t>
  </si>
  <si>
    <t>7501390515028</t>
  </si>
  <si>
    <t>ACEITE ROSHFRANS 15W/40 SEMISINTETICO</t>
  </si>
  <si>
    <t>ACEITE ROYAL 15W/40 MINERAL</t>
  </si>
  <si>
    <t>ACEITE ROYAL 20W/50 MINERAL</t>
  </si>
  <si>
    <t>PULITURA SQ PEQUEÑA</t>
  </si>
  <si>
    <t>0749565938723</t>
  </si>
  <si>
    <t>ACEITE ROYAL 10W/30 SEMISINTETICO</t>
  </si>
  <si>
    <t>0749565938709</t>
  </si>
  <si>
    <t>ACEITE ROYAL 10W/40 SEMISINTETICO</t>
  </si>
  <si>
    <t>ACEITE ROYAL 15W/40 SEMISINTETICO</t>
  </si>
  <si>
    <t>WD-40 AEROSOL 5.5 ONZAS</t>
  </si>
  <si>
    <t>0740111724579</t>
  </si>
  <si>
    <t>ACEITE ROYAL 20W/50 SEMISINTETICO</t>
  </si>
  <si>
    <t>2050120101</t>
  </si>
  <si>
    <t>ACEITE SCHMIEROL 20W/50 MINERAL</t>
  </si>
  <si>
    <t>021400005924</t>
  </si>
  <si>
    <t>ACEITE SHELL 15W/40 MINERAL</t>
  </si>
  <si>
    <t>WD-40 AEROSOL 8 ONZAS</t>
  </si>
  <si>
    <t>021400059252</t>
  </si>
  <si>
    <t>ACEITE SHELL 20W/50 MINERAL</t>
  </si>
  <si>
    <t>021400086630</t>
  </si>
  <si>
    <t>ACEITE SHELL 10W/30 SEMISINTETICO</t>
  </si>
  <si>
    <t>ACEITE SHELL 10W/40 SEMISINTETICO</t>
  </si>
  <si>
    <t>021400086685</t>
  </si>
  <si>
    <t>ACEITE SHELL 5W/20 SEMISINTETICO (GARRAFA)</t>
  </si>
  <si>
    <t>TRATAMIENTO CAJA DE CAMBIOS TRATAUTO</t>
  </si>
  <si>
    <t>021400086869</t>
  </si>
  <si>
    <t>ACEITE SHELL 5W/40 SINTETICO</t>
  </si>
  <si>
    <t>7593597005150</t>
  </si>
  <si>
    <t>ACEITE SKY EVOLUB 10W/30 SEMISINTETICO</t>
  </si>
  <si>
    <t>TRATAMIENTO ANTIFRICCION POWER METAL TRATAUTO (MOTOR)</t>
  </si>
  <si>
    <t>7593597005181</t>
  </si>
  <si>
    <t>ACEITE SKY EVOLUB 15W/40 SEMISINTETICO</t>
  </si>
  <si>
    <t>7593597005198</t>
  </si>
  <si>
    <t>ACEITE SKY EVOLUB 20W/50 SEMISINTETICO</t>
  </si>
  <si>
    <t>7597304213135</t>
  </si>
  <si>
    <t>ACEITE SPEED7 15W/40 MINERAL</t>
  </si>
  <si>
    <t>SUPER MULTIUSO TODO EN 1 TRATAUTO (600 ml)</t>
  </si>
  <si>
    <t>7597304213142</t>
  </si>
  <si>
    <t>ACEITE SPEED7 20W/50 MINERAL</t>
  </si>
  <si>
    <t>LIMPIADOR DE FRENOS TRATAUTO (550 ml)</t>
  </si>
  <si>
    <t>ACEITE SPEED7 15W/40 SEMISINTETICO</t>
  </si>
  <si>
    <t>7898319231580</t>
  </si>
  <si>
    <t>ACEITE SUPERIOR 20W/50 MINERAL</t>
  </si>
  <si>
    <t>LIMPIADOR DE TAPICERIA TRATAUTO (400 ml)</t>
  </si>
  <si>
    <t>ACEITE SUPERIOR 15W/40 SEMISINTETICO</t>
  </si>
  <si>
    <t>NEUTRALIZADOR DE OLORES TRATAUTO (300 ml)</t>
  </si>
  <si>
    <t>7591871007869</t>
  </si>
  <si>
    <t>ACEITE ULTRALUB 15W/40 MINERAL</t>
  </si>
  <si>
    <t>7591871007876</t>
  </si>
  <si>
    <t>ACEITE ULTRALUB 20W/50 MINERAL</t>
  </si>
  <si>
    <t>LIMPIA INYECTORES GASOLINA TRATAUTO (300 ml)</t>
  </si>
  <si>
    <t>7591871008149</t>
  </si>
  <si>
    <t>ACEITE ULTRALUB 10W/30 SEMISINTETICO</t>
  </si>
  <si>
    <t>POWER OCTANE BOOSTER TRATAUTO (150 ml)</t>
  </si>
  <si>
    <t>7591871008156</t>
  </si>
  <si>
    <t>ACEITE ULTRALUB 15W/40 SEMISINTETICO</t>
  </si>
  <si>
    <t>7591871007913</t>
  </si>
  <si>
    <t>ACEITE ULTRALUB 20W/50 SEMISINTETICO</t>
  </si>
  <si>
    <t>PROTECTOR ABRILLANTADOR SPRAY ARMORALL (295ml)</t>
  </si>
  <si>
    <t>7591871008286</t>
  </si>
  <si>
    <t>ACEITE ULTRALUB ULTRABLACK 10W/40 SEMISINTETICO</t>
  </si>
  <si>
    <t>LIMPIADOR MUTIPROPOSITO ATOMIZADOR ARMORALL (473ml)</t>
  </si>
  <si>
    <t>7862101152292</t>
  </si>
  <si>
    <t>ACEITE VALVOLINE 20W/50 MINERAL</t>
  </si>
  <si>
    <t>7862101152155</t>
  </si>
  <si>
    <t>ACEITE VALVOLINE 10W/30 SEMISINTETICO</t>
  </si>
  <si>
    <t>LIMPIACAUCHOS TIRE FOAM ARMORALL (118ml)</t>
  </si>
  <si>
    <t>ACEITE VALVOLINE 15W/40 SEMISINTETICO</t>
  </si>
  <si>
    <t>LIMPIACAUCHOS TIRE SHINE SIMPLY AUTO (400ml)</t>
  </si>
  <si>
    <t>7709365897043</t>
  </si>
  <si>
    <t>ACEITE VENOCO 20W/50 MINERAL</t>
  </si>
  <si>
    <t>LIMPIADOR DE CUERO SIMPLY AUTO (400ml)</t>
  </si>
  <si>
    <t>860012315345</t>
  </si>
  <si>
    <t>ACEITE VENOCO 15W/40 SEMISINTETICO</t>
  </si>
  <si>
    <t>7709921805307</t>
  </si>
  <si>
    <t>ACEITE VENOCO 20W/50 SEMISINTETICO</t>
  </si>
  <si>
    <t>LIMPIADOR MULTIPROPOSITO TUFF STUFF (623ml)</t>
  </si>
  <si>
    <t>7599659000026</t>
  </si>
  <si>
    <t>ACEITE VOLTEX 20W/50 MINERAL</t>
  </si>
  <si>
    <t>ACEITE VOLTEX 15W/40 SEMISINTENTICO</t>
  </si>
  <si>
    <t>0717419643</t>
  </si>
  <si>
    <t>ACEITE XPESO 20W/50 MINERAL</t>
  </si>
  <si>
    <t>0224553446</t>
  </si>
  <si>
    <t>ACEITE XPESO 25W/60 MINERAL</t>
  </si>
  <si>
    <t>7598021000268</t>
  </si>
  <si>
    <t>ACEITE ZENITH 20W/50 MINERAL</t>
  </si>
  <si>
    <t>ESTANTE 7</t>
  </si>
  <si>
    <t>8429325002469</t>
  </si>
  <si>
    <t>ACEITE DIMASOIL 20W/50 MINERAL</t>
  </si>
  <si>
    <t>Cepillos Limpiaparabrisas</t>
  </si>
  <si>
    <t>CEPILLO LARSSON REAR TECH 8</t>
  </si>
  <si>
    <t>LARSSON</t>
  </si>
  <si>
    <t>Limpiaparabrisas</t>
  </si>
  <si>
    <t>CEPILLO LARSSON REAR TECH 9</t>
  </si>
  <si>
    <t>PASTILLAS DE FRENO TOYOTA COROLLA SENSATION 2009-2014  DELANTERAS (04465-02260)</t>
  </si>
  <si>
    <t>5055148290900</t>
  </si>
  <si>
    <t>CEPILLO LARSSON REAR TECH 10</t>
  </si>
  <si>
    <t>5055148290917</t>
  </si>
  <si>
    <t>CEPILLO LARSSON REAR TECH 11</t>
  </si>
  <si>
    <t>5055148290924</t>
  </si>
  <si>
    <t>CEPILLO LARSSON REAR TECH 12</t>
  </si>
  <si>
    <t>5055148290429</t>
  </si>
  <si>
    <t>CEPILLO LARSSON REAR TECH 13</t>
  </si>
  <si>
    <t>5055148290436</t>
  </si>
  <si>
    <t>CEPILLO LARSSON REAR TECH 14</t>
  </si>
  <si>
    <t>PASTILLAS DE FRENO TOYOTA COROLLA SENSATION 2009-2014 TRASERAS (04466-02180)</t>
  </si>
  <si>
    <t>5055148290412</t>
  </si>
  <si>
    <t>CEPILLO LARSSON FLEX TECH 12</t>
  </si>
  <si>
    <t>CEPILLO LARSSON FLEX TECH 13</t>
  </si>
  <si>
    <t>CEPILLO LARSSON FLEX TECH 14</t>
  </si>
  <si>
    <t>PASTILLAS DE FRENO ANKOR HYUNDAI ELANTRA (02-05) / MATRIZ (02-03) D</t>
  </si>
  <si>
    <t>5055148291181</t>
  </si>
  <si>
    <t>CEPILLO LARSSON FLEX TECH 15</t>
  </si>
  <si>
    <t>5055148290443</t>
  </si>
  <si>
    <t>CEPILLO LARSSON FLEX TECH 16</t>
  </si>
  <si>
    <t>5055148290825</t>
  </si>
  <si>
    <t>CEPILLO LARSSON FLEX TECH 17</t>
  </si>
  <si>
    <t xml:space="preserve">PASTILLAS DE FRENO ARTI BRAKE (SEMI-METALICA) MITSUBISHI MONTERO D867-7742 </t>
  </si>
  <si>
    <t>CEPILLO LARSSON FLEX TECH 18</t>
  </si>
  <si>
    <t>PASTILLAS DE FRENO TSUKASA TOYOTA CAMRY(92-01) - RAV4 - COROLLA(03-07) CELICA(94-97) (SEMI-METALICA) D562-7441 DELANTERAS</t>
  </si>
  <si>
    <t>5055148290474</t>
  </si>
  <si>
    <t>PASTILLAS DE FRENO Q-BRAKE (SEMI-METALICA) HONDA CIVIC DELANTERAS 7497-D628</t>
  </si>
  <si>
    <t>CEPILLO LARSSON FLEX TECH 19</t>
  </si>
  <si>
    <t>5055148290481</t>
  </si>
  <si>
    <t>PASTILLAS DE FRENO Q-BRAKE (SEMI-METALICA) HYUNDAI ACCENT-GETZ-EXCEL DELANTERAS 7376-D497</t>
  </si>
  <si>
    <t>CEPILLO LARSSON FLEX TECH 20</t>
  </si>
  <si>
    <t>5055148290498</t>
  </si>
  <si>
    <t>CEPILLO LARSSON FLEX TECH 21</t>
  </si>
  <si>
    <t>PASTILLAS DE FRENO Q-BRAKE (SEMI-METALICA) CHEVROLET SPARK-DAEWOO LANOS-MATIZ DELANTERAS 8433-D1321</t>
  </si>
  <si>
    <t>CEPILLO LARSSON FLEX TECH 22</t>
  </si>
  <si>
    <t>LAPICES BIELETA ESTABILIZADORA AVEO AYD 96391875-1</t>
  </si>
  <si>
    <t>5055148290511</t>
  </si>
  <si>
    <t>CEPILLO LARSSON FLEX TECH 24</t>
  </si>
  <si>
    <t>5055148290528</t>
  </si>
  <si>
    <t>CEPILLO LARSSON FLEX TECH 26</t>
  </si>
  <si>
    <t>MOTOR FLUSH COMMA</t>
  </si>
  <si>
    <t>CEPILLO LARSSON FLEX TECH 28</t>
  </si>
  <si>
    <t>5055148290801</t>
  </si>
  <si>
    <t>CEPILLO LARSSON ROBOT TECH 14</t>
  </si>
  <si>
    <t>MOTOR FLUSH BURACK</t>
  </si>
  <si>
    <t>5055148290818</t>
  </si>
  <si>
    <t>CEPILLO LARSSON ROBOT TECH 16</t>
  </si>
  <si>
    <t>RADIADOR FLUSHING COMMA</t>
  </si>
  <si>
    <t>CEPILLO LARSSON ROBOT TECH 17</t>
  </si>
  <si>
    <t>5055148290832</t>
  </si>
  <si>
    <t>CEPILLO LARSSON ROBOT TECH 18</t>
  </si>
  <si>
    <t>AUMENTADOR DE OCTANAJE BK3 (500ML) VERDE</t>
  </si>
  <si>
    <t>5055148290849</t>
  </si>
  <si>
    <t>CEPILLO LARSSON ROBOT TECH 19</t>
  </si>
  <si>
    <t>5055148290856</t>
  </si>
  <si>
    <t>CEPILLO LARSSON ROBOT TECH 20</t>
  </si>
  <si>
    <t>AUMENTADOR DE OCTANAJE BK3 (1000ML) ROJO</t>
  </si>
  <si>
    <t>5055148290863</t>
  </si>
  <si>
    <t>CEPILLO LARSSON ROBOT TECH 21</t>
  </si>
  <si>
    <t>5055148290870</t>
  </si>
  <si>
    <t>CEPILLO LARSSON ROBOT TECH 22</t>
  </si>
  <si>
    <t>AUMENTADOR DE OCTANAJE BK3 (250ML) ROJO MOTO</t>
  </si>
  <si>
    <t>5055148290887</t>
  </si>
  <si>
    <t>CEPILLO LARSSON ROBOT TECH 24</t>
  </si>
  <si>
    <t>5055148290894</t>
  </si>
  <si>
    <t>CEPILLO LARSSON ROBOT TECH 26</t>
  </si>
  <si>
    <t>LIMPIADOR DE CARBURADORES POTENCO (360ML)</t>
  </si>
  <si>
    <t>6957232803142</t>
  </si>
  <si>
    <t>CEPILLO AERO WIPER ROOBOCOP 14" (TRIDON)</t>
  </si>
  <si>
    <t>TRIDON</t>
  </si>
  <si>
    <t>FORMULA MARINA POTENCO (360ML)</t>
  </si>
  <si>
    <t>6957232803166</t>
  </si>
  <si>
    <t>CEPILLO AERO WIPER ROOBOCOP 16" (TRIDON)</t>
  </si>
  <si>
    <t>6957232803197</t>
  </si>
  <si>
    <t>CEPILLO AERO WIPER ROOBOCOP 19" (TRIDON)</t>
  </si>
  <si>
    <t>6957232803203</t>
  </si>
  <si>
    <t>CEPILLO AERO WIPER ROOBOCOP 20" (TRIDON)</t>
  </si>
  <si>
    <t>FORMULA MECANICA POTENCO (360ML)</t>
  </si>
  <si>
    <t>6957232803210</t>
  </si>
  <si>
    <t>CEPILLO AERO WIPER ROOBOCOP 21" (TRIDON)</t>
  </si>
  <si>
    <t>6957232803227</t>
  </si>
  <si>
    <t>CEPILLO AERO WIPER ROOBOCOP 22" (TRIDON)</t>
  </si>
  <si>
    <t xml:space="preserve">GEL DESENGRASANTE DE MANOS </t>
  </si>
  <si>
    <t>6957232803241</t>
  </si>
  <si>
    <t>CEPILLO AERO WIPER ROOBOCOP 24" (TRIDON)</t>
  </si>
  <si>
    <t>6957232803265</t>
  </si>
  <si>
    <t>CEPILLO AERO WIPER ROOBOCOP 26" (TRIDON)</t>
  </si>
  <si>
    <t>ANTIPINCHAZO TIRES SEALANT</t>
  </si>
  <si>
    <t>CEPILLO METAL 13 (AKSU)</t>
  </si>
  <si>
    <t>AKSU</t>
  </si>
  <si>
    <t>CEPILLO METAL 16 (AKSU)</t>
  </si>
  <si>
    <t>TAPA FUGAS DE RADIADOR WYNN´S</t>
  </si>
  <si>
    <t>CEPILLO METAL 22 (AKSU)</t>
  </si>
  <si>
    <t>CEPILLO METAL 14 (GAT)</t>
  </si>
  <si>
    <t>GAT</t>
  </si>
  <si>
    <t>CEPILLO METAL 26 (GAT)</t>
  </si>
  <si>
    <t>ACEITE GLOBAL 80W-90 TRASMISION</t>
  </si>
  <si>
    <t>CEPILLO METAL 14" (TRIDON)</t>
  </si>
  <si>
    <t>CEPILLO METAL 15" (TRIDON)</t>
  </si>
  <si>
    <t>CEPILLO HELLA SUPERWIND BOOMERANG 14"</t>
  </si>
  <si>
    <t>HELLA</t>
  </si>
  <si>
    <t>CEPILLO HELLA SUPERWIND BOOMERANG 17"</t>
  </si>
  <si>
    <t>CEPILLO HELLA SUPERWIND BOOMERANG 18"</t>
  </si>
  <si>
    <t>CEPILLO HELLA SUPERWIND BOOMERANG 26"</t>
  </si>
  <si>
    <t>CEPILLO BEWAHRT EXTREMEWIND BOOMERANG 28"</t>
  </si>
  <si>
    <t>BEWAHR</t>
  </si>
  <si>
    <t>CEPILLO BOOMERANG 14 (TR4+)</t>
  </si>
  <si>
    <t>TR4+</t>
  </si>
  <si>
    <t>CEPILLO BOOMERANG 16 (TR4+)</t>
  </si>
  <si>
    <t>CEPILLO BOOMERANG 18 (TR4+)</t>
  </si>
  <si>
    <t>CEPILLO BOOMERANG 20 (TR4+)</t>
  </si>
  <si>
    <t>SOLO EN ESTANTE Y MOSTRADOR</t>
  </si>
  <si>
    <t>CEPILLO BOOMERANG 22" (TR4+)</t>
  </si>
  <si>
    <t>CEPILLO BOOMERANG 24" (TR4+)</t>
  </si>
  <si>
    <t>FALTA REVISAR LA CAJA</t>
  </si>
  <si>
    <t>CEPILLO BOOMERANG 22" (DKG)</t>
  </si>
  <si>
    <t>DKG</t>
  </si>
  <si>
    <t>CEPILLO BOOMERANG 23" (HIBRYD)</t>
  </si>
  <si>
    <t>HIBRYD</t>
  </si>
  <si>
    <t>GRASA GRAFITADA INGRALUB</t>
  </si>
  <si>
    <t>CEPILLO BOOMERANG 10 (TRIDON)</t>
  </si>
  <si>
    <t>Productos de Limpieza, Químicos y Aditivos</t>
  </si>
  <si>
    <t>GRASA DE CHASIS INGRALUB</t>
  </si>
  <si>
    <t>LIMPIA CAUCHOS - SQ (440cm)</t>
  </si>
  <si>
    <t xml:space="preserve">SQ </t>
  </si>
  <si>
    <t>6910707260017</t>
  </si>
  <si>
    <t>EXTINTOR FIRESTOP 500ML</t>
  </si>
  <si>
    <t>GRASA DE MULTIPLE TRIPOIDE INGRALUB</t>
  </si>
  <si>
    <t>7591260970927</t>
  </si>
  <si>
    <t>LIMPIA MOTOR - SQ (354cm)</t>
  </si>
  <si>
    <t>GRASA MULTIPROPOSITO CROIX</t>
  </si>
  <si>
    <t>LIMPIA CARBURADOR - SQ (354cm)</t>
  </si>
  <si>
    <t>7591260070412</t>
  </si>
  <si>
    <t>GRASA ABRO MASTERS</t>
  </si>
  <si>
    <t>LIMPIADOR DE TAPICERIAS - VELOUR SQ (354cm)</t>
  </si>
  <si>
    <t>Productos de Limpieza / Químicos / Aditivos</t>
  </si>
  <si>
    <t>LIGA DE FRENOS DOT 3 H&amp;H (290CM)</t>
  </si>
  <si>
    <t>LIMPIADOR DE CUERO - SQ (360cm)</t>
  </si>
  <si>
    <t>LIGA DE FRENOS DOT 4 H&amp;H (290CM)</t>
  </si>
  <si>
    <t>7591260070153</t>
  </si>
  <si>
    <t>SILICON ABRILLANTADOR MORADO - SQ (SPRAY) (354cm)</t>
  </si>
  <si>
    <t>SILICON ABRILLANTADOR VERDE - SQ (SPRAY) (354cm)</t>
  </si>
  <si>
    <t>LIGA DE FRENOS DOT 3 H&amp;H (120CM)</t>
  </si>
  <si>
    <t>SILICON ABRILLANTADOR ROJO - SQ (SPRAY) (354cm)</t>
  </si>
  <si>
    <t>LIGA DE FRENOS DOT 3 HYBRID (250CM)</t>
  </si>
  <si>
    <t>7591260070061</t>
  </si>
  <si>
    <t>FORMULA MECANICA - SQ (354cm)</t>
  </si>
  <si>
    <t>LIGA DE FRENOS DOT 4 BETA (290CM)</t>
  </si>
  <si>
    <t>7591260000242</t>
  </si>
  <si>
    <t>FORMULA MARINA - SQ (354cm)</t>
  </si>
  <si>
    <t>LIGA DE FRENOS DOT 3 H&amp;H (946CM)</t>
  </si>
  <si>
    <t>7591260000563</t>
  </si>
  <si>
    <t>AGARRE ANTIDESLIZANTE CORREA - SQ (354cm)</t>
  </si>
  <si>
    <t>7591336001531</t>
  </si>
  <si>
    <t>LIGA DE FRENOS DOT 4 H&amp;H (946CM)</t>
  </si>
  <si>
    <t>AGUA DESTILADA (SPEED7)</t>
  </si>
  <si>
    <t>SPEED7</t>
  </si>
  <si>
    <t>7591260971412</t>
  </si>
  <si>
    <t xml:space="preserve">PORCELANIZACION GRANDE (SQ) </t>
  </si>
  <si>
    <t>LIGA DE FRENOS DOT 4 AKSU (946CM)</t>
  </si>
  <si>
    <t>7591260070023</t>
  </si>
  <si>
    <t>PULITURA GRANDE (SQ) 360cm3</t>
  </si>
  <si>
    <t>ACEITE PROFORCE DEXRON III (946Mml)</t>
  </si>
  <si>
    <t>PULITURA PEQUEÑA (SQ)</t>
  </si>
  <si>
    <t>79567520054</t>
  </si>
  <si>
    <t>AEROSOL 5.5 ONZAS (WD-40) (191ml)</t>
  </si>
  <si>
    <t>WD-40</t>
  </si>
  <si>
    <t>AEROSOL 8 ONZAS (WD-40)</t>
  </si>
  <si>
    <t>TRATAMIENTO CAJA DE CAMBIOS (TRATAUTO)</t>
  </si>
  <si>
    <t>TRATAUTO</t>
  </si>
  <si>
    <t>TRATAMIENTO ANTIFRICCION POWER METAL (TRATAUTO) (MOTOR)</t>
  </si>
  <si>
    <t>SUPER MULTIUSO TODO EN 1 (TRATAUTO) (600 ml)</t>
  </si>
  <si>
    <t>ACEITE GONHER DEXRON III (946Mml)</t>
  </si>
  <si>
    <t>LIMPIADOR DE FRENOS (TRATAUTO) (550 ml)</t>
  </si>
  <si>
    <t>ACEITE CHRONUS DEXRON III (946Mml)</t>
  </si>
  <si>
    <t>LIMPIADOR DE TAPICERIA (TRATAUTO) (400 ml)</t>
  </si>
  <si>
    <t>NEUTRALIZADOR DE OLORES (TRATAUTO) (300 ml)</t>
  </si>
  <si>
    <t>LIMPIA INYECTORES GASOLINA (TRATAUTO) (300 ml)</t>
  </si>
  <si>
    <t>POWER OCTANE BOOSTER (TRATAUTO) (150 ml)</t>
  </si>
  <si>
    <t>PROTECTOR ABRILLANTADOR SPRAY (ARMORALL) (295ml)</t>
  </si>
  <si>
    <t xml:space="preserve">ARMORALL </t>
  </si>
  <si>
    <t>LIMPIADOR MUTIPROPOSITO ATOMIZADOR (ARMORALL) (473ml)</t>
  </si>
  <si>
    <t xml:space="preserve">ACEITE FC 20W-50 MINERAL (MOTO) </t>
  </si>
  <si>
    <t>LIMPIACAUCHOS TIRE FOAM (ARMORALL) (118ml)</t>
  </si>
  <si>
    <t xml:space="preserve">ACEITE OILSTONE 20W-50 MINERAL (MOTO) </t>
  </si>
  <si>
    <t>SIMPLY AUTO</t>
  </si>
  <si>
    <t>LIMPIADOR DE CUERO (SIMPLY AUTO) (400ml)</t>
  </si>
  <si>
    <t>LIMPIADOR MULTIPROPOSITO (TUFF STUFF) (623ml)</t>
  </si>
  <si>
    <t>TUFF STUFF</t>
  </si>
  <si>
    <t xml:space="preserve">ACEITE ROSHFRANS 2TIEMPOS MINERAL (MOTO) </t>
  </si>
  <si>
    <t>MOTOR FLUSH (COMMA)</t>
  </si>
  <si>
    <t>COMMA</t>
  </si>
  <si>
    <t>MOTOR FLUSH (BURACK)</t>
  </si>
  <si>
    <t>BURACK</t>
  </si>
  <si>
    <t xml:space="preserve">ACEITE ROSHFRANS 10W-40 SEMISINTETICO (MOTO) </t>
  </si>
  <si>
    <t>RADIADOR FLUSHING (COMMA)</t>
  </si>
  <si>
    <t>726529902200</t>
  </si>
  <si>
    <t>AUMENTADOR DE OCTANAJE - BK3 (500ML) VERDE</t>
  </si>
  <si>
    <t xml:space="preserve">BK3 </t>
  </si>
  <si>
    <t>726529902266</t>
  </si>
  <si>
    <t>AUMENTADOR DE OCTANAJE - BK3 (1000ML) ROJO</t>
  </si>
  <si>
    <t xml:space="preserve">ACEITE ROSHFRANS 10W-50 100% SINTETICO (MOTO) </t>
  </si>
  <si>
    <t>AUMENTADOR DE OCTANAJE - BK3 (250ML) ROJO MOTO</t>
  </si>
  <si>
    <t>7590213000025</t>
  </si>
  <si>
    <t>LIMPIADOR DE CARBURADORES (POTENCO) (360ML)</t>
  </si>
  <si>
    <t xml:space="preserve">POTENCO </t>
  </si>
  <si>
    <t>FORMULA MARINA (POTENCO) (360ML)</t>
  </si>
  <si>
    <t>7590213000131</t>
  </si>
  <si>
    <t>FORMULA MECANICA (POTENCO) (360ML)</t>
  </si>
  <si>
    <t>Productos de Limpieza / Aditivos</t>
  </si>
  <si>
    <t>GEL DESENGRASANTE DE MANOS</t>
  </si>
  <si>
    <t xml:space="preserve">ANTIPINCHAZO </t>
  </si>
  <si>
    <t>TIRES SEALANT</t>
  </si>
  <si>
    <t>ACEITE IPONE 20W/50 SEMISINTETICO (MOTO)</t>
  </si>
  <si>
    <t>TAPA FUGAS DE RADIADOR (WYNN´S)</t>
  </si>
  <si>
    <t>WYNN´S</t>
  </si>
  <si>
    <t>LIMPIACAUCHOS ESPUMA - FLAMINGO (TIRE FOAM) (650ml) F003</t>
  </si>
  <si>
    <t xml:space="preserve">FLAMINGO </t>
  </si>
  <si>
    <t>LIMPIACAUCHOS ESPUMA FLAMINGO (TIRE FOAM) (650ml) F003</t>
  </si>
  <si>
    <t>REVISAR CAJA</t>
  </si>
  <si>
    <t>LIMPIAMOTOR EN ESPUMA - FLAMINGO (ENGINE DEGREASER) (650ML) F008</t>
  </si>
  <si>
    <t>LIMPIADOR BRILLA TABLERO - FLAMINGO (DASGBOARD POLISH) (450ML) F004J</t>
  </si>
  <si>
    <t>LIMPIAMOTOR EN ESPUMA FLAMINGO (ENGINE DEGREASER) (650ML) F008</t>
  </si>
  <si>
    <t>LIMPIACARBURADOR - FLAMINGO (CARBURETOR &amp; CHOKE CLEANER) (450ML) F005</t>
  </si>
  <si>
    <t>LIMPIACONTACTO - FLAMINGO (CONTAC CLEANER) (450ML) F058</t>
  </si>
  <si>
    <t>LIMPIADOR BRILLA TABLERO FLAMINGO (DASGBOARD POLISH) (450ML) F004J</t>
  </si>
  <si>
    <t>DESINFECTANTE DE CASCOS - FLAMINGO (HELMET DISINFECTING FOAM) (450ml) F094</t>
  </si>
  <si>
    <t>LIMPIACADENA DESENGRASANTE - FLAMINGO (CHAIN CLEAN) (220ml) F110</t>
  </si>
  <si>
    <t>LIMPIACARBURADOR FLAMINGO (CARBURETOR &amp; CHOKE CLEANER (450ML) F005</t>
  </si>
  <si>
    <t>LIMPIACADENA LUBRICANTE - FLAMINGO (CHAIN LUBE) (220ml) F108</t>
  </si>
  <si>
    <t>LIMPIACONTACTO FLAMINGO (CONTAC CLEANER) (450ML) F058</t>
  </si>
  <si>
    <t>SHAMPOO CON CERA WASH WAX (500ML) (FLAMINGO) F351</t>
  </si>
  <si>
    <t>SILICON EN SPRAY FLAMINGO (SILICONE SPRAY) (450ml) F090L</t>
  </si>
  <si>
    <t>MOTOR FLUSH FLAMINGO (450ML) F048</t>
  </si>
  <si>
    <t>DESINFECTANTE DE CASCOS FLAMINGO (HELMET DISINFECTING FOAM) (450ml) F094</t>
  </si>
  <si>
    <t>LIMPIADOR DE DUCTOS AIRE ACONDICIONADO (FLAMINGO) (A/C PRO) F020</t>
  </si>
  <si>
    <t>LIMPIACADENA DESENGRASANTE FLAMINGO (CHAIN CLEAN) (220ml) F110</t>
  </si>
  <si>
    <t>LIMPIADOR DE DUCTOS AIRE ACONDICIONADO (GLADIATOR) (A/C PRO) GT20</t>
  </si>
  <si>
    <t>GLADIATOR</t>
  </si>
  <si>
    <t>DESODORIZADOR AIRE ACONDICIONADO GLADIATOR (QUICK FRESH DEODORIZER) GT139</t>
  </si>
  <si>
    <t>LIMPIACADENA LUBRICANTE FLAMINGO (CHAIN LUBE) (220ml) F108</t>
  </si>
  <si>
    <t xml:space="preserve">DESENGRASANTE GALON (POTENCO) </t>
  </si>
  <si>
    <t>POTENCO</t>
  </si>
  <si>
    <t>SHAMPOO CON CERA WASH WAX (500ML) F351</t>
  </si>
  <si>
    <t xml:space="preserve">DESENGRASANTE LITRO (H7) </t>
  </si>
  <si>
    <t>H7</t>
  </si>
  <si>
    <t xml:space="preserve">DESENGRASANTE GALON (H7) </t>
  </si>
  <si>
    <t>658606893566</t>
  </si>
  <si>
    <t>GEAR BOX (MOTORKOTE) (CAJA)</t>
  </si>
  <si>
    <t>MOTORKOTE</t>
  </si>
  <si>
    <t xml:space="preserve">LIMPIADOR DE DUCTOS AIRE ACONDICIONADO FLAMINGO (A/C PRO) F020  </t>
  </si>
  <si>
    <t>7591119000010</t>
  </si>
  <si>
    <t>HIPER LUBRICANTE (MOTORKOTE) (MOTOR)</t>
  </si>
  <si>
    <t>724373651965</t>
  </si>
  <si>
    <t xml:space="preserve">LIMPIADOR DE DUCTOS AIRE ACONDICIONADO GLADIATOR (A/C PRO) GT20  </t>
  </si>
  <si>
    <t xml:space="preserve">LIMPIACAUCHOS ESPUMA (650ml) </t>
  </si>
  <si>
    <t>QUALID</t>
  </si>
  <si>
    <t>724373652375</t>
  </si>
  <si>
    <t>LIMPIADOR DE CUERO Y VINIL (500ml)</t>
  </si>
  <si>
    <t>6959375187837</t>
  </si>
  <si>
    <t>LIMPIACARBURADOR PRATO (450ml)</t>
  </si>
  <si>
    <t>PRATO</t>
  </si>
  <si>
    <t>DESENGRASANTE POTENCO GALON</t>
  </si>
  <si>
    <t>Silicones, Grasas y Selladores</t>
  </si>
  <si>
    <t>DESENGRASANTE H7 LITRO</t>
  </si>
  <si>
    <t>7591260070337</t>
  </si>
  <si>
    <t>Silicones / Grasas / Selladores</t>
  </si>
  <si>
    <t xml:space="preserve">DESENGRASANTE H7 GALON </t>
  </si>
  <si>
    <t>GRASA GRAFITADA (INGRALUB)</t>
  </si>
  <si>
    <t>TABLA PEGADA ESTANTE 7</t>
  </si>
  <si>
    <t xml:space="preserve">CARRITOS BLUE1 NARANJA </t>
  </si>
  <si>
    <t>FIJADOR DE TUERCAS (6ML)  (TRATAUTO)</t>
  </si>
  <si>
    <t>SELLADOR EPOXY 4 MINUTOS (TRATAUTO)</t>
  </si>
  <si>
    <t>CARRITOS BLUE1 AZUL</t>
  </si>
  <si>
    <t>GRASA DIELECTRICA (PERMATEX)</t>
  </si>
  <si>
    <t>SILICON ROJO (PERMATEX)</t>
  </si>
  <si>
    <t>CARRITOS BLUE1 BLANCO</t>
  </si>
  <si>
    <t>SILICON NEGRO (PERMATEX)</t>
  </si>
  <si>
    <t>CARRITOS BLUE1 AMARILLO</t>
  </si>
  <si>
    <t>SILICON GRIS (PERMATEX)</t>
  </si>
  <si>
    <t>TRABAROSCAS AZUL MEDIA (PERMATEX)</t>
  </si>
  <si>
    <t>CARRITOS BLUE1 ROJO</t>
  </si>
  <si>
    <t>PEGALOKA</t>
  </si>
  <si>
    <t>SILICON MEGA GREY</t>
  </si>
  <si>
    <t>PAR DE LUCES HAMMER ESTUCHE H3</t>
  </si>
  <si>
    <t>Frenos (Pastillas y Ligas)</t>
  </si>
  <si>
    <t>446502260</t>
  </si>
  <si>
    <t>PAR DE LUCES HAMMER ESTUCHE H4</t>
  </si>
  <si>
    <t>PASTILLAS DE FRENO TOYOTA COROLLA SENSATION 2009-2014 DELANTERAS (04465-02260)</t>
  </si>
  <si>
    <t>446602180</t>
  </si>
  <si>
    <t>FORROS DE VOLANTE BEIGE</t>
  </si>
  <si>
    <t>7843D941</t>
  </si>
  <si>
    <t>FORROS DE VOLANTE NEGRO</t>
  </si>
  <si>
    <t>D8677742</t>
  </si>
  <si>
    <t>PASTILLAS DE FRENO ARTI BRAKE (SEMI-METALICA) MITSUBISHI MONTERO D867-7742</t>
  </si>
  <si>
    <t>5767841250336</t>
  </si>
  <si>
    <t>FORROS DE VOLANTE GRIS</t>
  </si>
  <si>
    <t>7487D628</t>
  </si>
  <si>
    <t>FORROS DE VOLANTE NEGRO MOMO</t>
  </si>
  <si>
    <t>7376D497</t>
  </si>
  <si>
    <t>8433D1321</t>
  </si>
  <si>
    <t>7590009000161</t>
  </si>
  <si>
    <t>LIGA DE FRENOS DOT 3 VF (290CM)</t>
  </si>
  <si>
    <t>ESTANTE PLASTICO KRS-LMV</t>
  </si>
  <si>
    <t>7596603000019</t>
  </si>
  <si>
    <t>7596603000064</t>
  </si>
  <si>
    <t>LIGA DE FRENOS DOT 4 H&amp;H (120CM)</t>
  </si>
  <si>
    <t>7595375011643</t>
  </si>
  <si>
    <t>7595375011636</t>
  </si>
  <si>
    <t>LIGA DE FRENOS DOT 3 AKSU (946CM)</t>
  </si>
  <si>
    <t>LIGA DE FRENOS DOT 4 MARUSSI (250CM)</t>
  </si>
  <si>
    <t>LIGA DE FRENOS DOT 4 MARUSSI (355CM)</t>
  </si>
  <si>
    <t>2170998100018</t>
  </si>
  <si>
    <t>LIGA DE FRENOS DOT 3 MARUSSI (1000CM)</t>
  </si>
  <si>
    <t>2170997100019</t>
  </si>
  <si>
    <t>LIGA DE FRENOS DOT 4 MARUSSI (1000CM)</t>
  </si>
  <si>
    <t>Filtros de Aceite y Gasolina</t>
  </si>
  <si>
    <t>5055148200046</t>
  </si>
  <si>
    <t>FILTRO DE ACEITE MILLARD ML-2</t>
  </si>
  <si>
    <t xml:space="preserve">Filtros </t>
  </si>
  <si>
    <t>5055148200084</t>
  </si>
  <si>
    <t>FILTRO DE ACEITE MILLARD ML-2C</t>
  </si>
  <si>
    <t>5055148200008</t>
  </si>
  <si>
    <t>FILTRO DE ACEITE MILLARD ML-8</t>
  </si>
  <si>
    <t>TABLA PEGADA ESTANTE 3</t>
  </si>
  <si>
    <t>FILTRO DE ACEITE MILLARD ML-13</t>
  </si>
  <si>
    <t>FIJADOR DE TUERCAS (6ML) TRATAUTO</t>
  </si>
  <si>
    <t>FILTRO DE ACEITE MILLARD ML-16</t>
  </si>
  <si>
    <t>5055148200817</t>
  </si>
  <si>
    <t>FILTRO DE ACEITE MILLARD ML-321</t>
  </si>
  <si>
    <t>SELLADOR EPOXY 4 MINUTOS TRATAUTO</t>
  </si>
  <si>
    <t>FILTRO DE ACEITE MILLARD ML-3387</t>
  </si>
  <si>
    <t>FILTRO DE ACEITE MILLARD ML-3593</t>
  </si>
  <si>
    <t>GRASA DIELECTRICA PERMATEX</t>
  </si>
  <si>
    <t>FILTRO DE ACEITE MILLARD ML-3600</t>
  </si>
  <si>
    <t>5055148200138</t>
  </si>
  <si>
    <t>FILTRO DE ACEITE MILLARD ML-3614</t>
  </si>
  <si>
    <t>SILICON ROJO PERMATEX</t>
  </si>
  <si>
    <t>5055148200169</t>
  </si>
  <si>
    <t>FILTRO DE ACEITE MILLARD ML-3675</t>
  </si>
  <si>
    <t>SILICON NEGRO PERMATEX</t>
  </si>
  <si>
    <t>5055148200176</t>
  </si>
  <si>
    <t>FILTRO DE ACEITE MILLARD ML-3682</t>
  </si>
  <si>
    <t>5055148200183</t>
  </si>
  <si>
    <t>FILTRO DE ACEITE MILLARD ML-3807</t>
  </si>
  <si>
    <t>SILICON GRIS PERMATEX</t>
  </si>
  <si>
    <t>FILTRO DE ACEITE MILLARD ML-3980</t>
  </si>
  <si>
    <t>5055148200237</t>
  </si>
  <si>
    <t>FILTRO DE ACEITE MILLARD ML-4558</t>
  </si>
  <si>
    <t xml:space="preserve">SACABUJIAS AMARILLO </t>
  </si>
  <si>
    <t>5055148200428</t>
  </si>
  <si>
    <t>FILTRO DE ACEITE MILLARD ML-4952</t>
  </si>
  <si>
    <t xml:space="preserve">TRABAROSCAS MEDIA PERMATEX AZUL </t>
  </si>
  <si>
    <t>FILTRO DE ACEITE MILLARD ML-4967</t>
  </si>
  <si>
    <t>MILLARD</t>
  </si>
  <si>
    <t>PILAS PICKEL 23A</t>
  </si>
  <si>
    <t>FILTRO DE ACEITE MILLARD ML-4997</t>
  </si>
  <si>
    <t>FILTRO DE ACEITE MILLARD ML-5548</t>
  </si>
  <si>
    <t>PILAS MAXELL AA</t>
  </si>
  <si>
    <t>5055148200497</t>
  </si>
  <si>
    <t>FILTRO DE ACEITE MILLARD ML-5552</t>
  </si>
  <si>
    <t>5055148200503</t>
  </si>
  <si>
    <t>FILTRO DE ACEITE MILLARD ML-5566</t>
  </si>
  <si>
    <t>PILAS MAXELL AAA</t>
  </si>
  <si>
    <t>5055148200510</t>
  </si>
  <si>
    <t>FILTRO DE ACEITE MILLARD ML-5796</t>
  </si>
  <si>
    <t>AMBIENTADOR SUPER ORGANIC (46GR)</t>
  </si>
  <si>
    <t>5055148200534</t>
  </si>
  <si>
    <t>FILTRO DE ACEITE MILLARD ML-5885</t>
  </si>
  <si>
    <t>5055148200541</t>
  </si>
  <si>
    <t>FILTRO DE ACEITE MILLARD ML-5949</t>
  </si>
  <si>
    <t>AMBIENTADOR CALIFORNIA SCENTS</t>
  </si>
  <si>
    <t>5055148200305</t>
  </si>
  <si>
    <t>FILTRO DE ACEITE MILLARD ML-6607</t>
  </si>
  <si>
    <t>5055148200619</t>
  </si>
  <si>
    <t>FILTRO DE ACEITE MILLARD ML-9018</t>
  </si>
  <si>
    <t>ABRAZADERAS GRANDES</t>
  </si>
  <si>
    <t>FILTRO DE ACEITE MILLARD ML-9090</t>
  </si>
  <si>
    <t>ABRAZADERAS MEDIANA</t>
  </si>
  <si>
    <t>FILTRO DE ACEITE MILLARD ML-9437</t>
  </si>
  <si>
    <t>FILTRO DE ACEITE MILLARD ML-9463</t>
  </si>
  <si>
    <t>FILTRO DE ACEITE MILLARD ML-9814</t>
  </si>
  <si>
    <t>FILTRO DE ACEITE MILLARD ML-9999</t>
  </si>
  <si>
    <t>5055148201029</t>
  </si>
  <si>
    <t>FILTRO DE ACEITE MILLARD ML-10060</t>
  </si>
  <si>
    <t>ABRAZADERAS PEQUEÑAS</t>
  </si>
  <si>
    <t>5055148201289</t>
  </si>
  <si>
    <t>FILTRO DE ACEITE MILLARD ML-12027</t>
  </si>
  <si>
    <t>5055148202293</t>
  </si>
  <si>
    <t>FILTRO DE ACEITE MILLARD ML-12137</t>
  </si>
  <si>
    <t>5055148201784</t>
  </si>
  <si>
    <t>FILTRO DE ACEITE MILLARD ML-12448</t>
  </si>
  <si>
    <t>EMPACADURA DE CAMARA NATSUKI TOYOTA AVILA 1.6</t>
  </si>
  <si>
    <t>5055148201074</t>
  </si>
  <si>
    <t>FILTRO DE ACEITE MILLARD ML-14120</t>
  </si>
  <si>
    <t xml:space="preserve">EMPACADURA DE CAMARA ICRBI CHEVROLET SPARK </t>
  </si>
  <si>
    <t>5055148222116</t>
  </si>
  <si>
    <t>FILTRO DE ACEITE MILLARD ML-16262</t>
  </si>
  <si>
    <t>5055148222734</t>
  </si>
  <si>
    <t>FILTRO DE ACEITE MILLARD ML-16263</t>
  </si>
  <si>
    <t xml:space="preserve">AMPACADURA TAPAVALVULA KMC TOYOTA STARLET </t>
  </si>
  <si>
    <t>5055148201265</t>
  </si>
  <si>
    <t>FILTRO DE ACEITE MILLARD ML-19547</t>
  </si>
  <si>
    <t>5055148201135</t>
  </si>
  <si>
    <t>FILTRO DE ACEITE MILLARD ML-19626</t>
  </si>
  <si>
    <t>EMPACADURA TAPAVALVULA MORADA FRACO (CHEVROLET AVEO DOHC)  MOTOR F16D3 16VALV AÑO 05 EN ADELANTE VS-12861-G</t>
  </si>
  <si>
    <t>FILTRO DE ACEITE MILLARD ML-20004</t>
  </si>
  <si>
    <t>EMPACADURA TAPAVALVULA MORADA FRACO (CHEVROLET SPARK)  MOTOR B10S 1.0 CIL AÑO 05 EN ADELANTE VS-12851-G</t>
  </si>
  <si>
    <t>5055148201401</t>
  </si>
  <si>
    <t>FILTRO DE ACEITE MILLARD ML-53597</t>
  </si>
  <si>
    <t>EMPACADURA TAPAVALVULA MORADA FRACO (CHEVROLET OPTRA LIMITED DOHC) MOTOR (16 VALVULAS) AÑO 04 EN ADELANTE VS-12891-G TAPA NEGRA</t>
  </si>
  <si>
    <t>5055148201104</t>
  </si>
  <si>
    <t>FILTRO DE ACEITE MILLARD ML-44155</t>
  </si>
  <si>
    <t>EMPACADURA TAPAVALVULA MORADA FRACO (FORD FIESTA / ECOSPORT / KÁ) MOTOR ZETEC ROCAM (1.6 CILINDROS) AÑO 99-12 (VS-23009-G)</t>
  </si>
  <si>
    <t>5055148201210</t>
  </si>
  <si>
    <t>FILTRO DE ACEITE MILLARD ML-61759</t>
  </si>
  <si>
    <t>5055148201333</t>
  </si>
  <si>
    <t>FILTRO DE ACEITE MILLARD ML-96796</t>
  </si>
  <si>
    <t>EMPACADURA TAPAVALVULA MORADA FRACO (CHEVROLET ORLANDO) MOTOR ECOTEC LE5 2.4 4CILINDROS AÑO 10-14 (VS-1291-G)</t>
  </si>
  <si>
    <t>FILTRO DE ACEITE SIFT ML-2</t>
  </si>
  <si>
    <t>EMPACADURA TAPAVALVULA MORADA FRACO (JEEP CHEROKEE LIMITED)  MOTOR KK (08-15) / KJ (05-07) 3.7 (6 CILINDROS) (VS-1274-G)</t>
  </si>
  <si>
    <t>FILTRO DE ACEITE SIFT ML-2C</t>
  </si>
  <si>
    <t>EMPACADURA TAPAVALVULA MORADA FRACO (HYUNDAI GETZ / ELANTRA / VERNA)  MOTOR GAED DOHC 16 VALVULAS AÑO 06-13 (VS-8704-GR)</t>
  </si>
  <si>
    <t>FILTRO DE ACEITE SIFT ML-8</t>
  </si>
  <si>
    <t>FILTRO DE ACEITE SIFT ML-13</t>
  </si>
  <si>
    <t>EMPACADURA TAPAVALVULA MORADA FRACO (CHEVROLET CORSA / CIELO / RACER)  MOTOR 1.3 / 1.4 / 1.6 4 CILINDROS AÑO 96-99 (VS-50347-1G)</t>
  </si>
  <si>
    <t>FILTRO DE ACEITE SIFT ML-16</t>
  </si>
  <si>
    <t>EMPACADURA TAPAVALVULA MORADA FRACO (CHEVROLET CORSA MODELO NUEVO 1.3 / 1.4 / 1.6 / FIAT SIENA / MERIVA 1.8 (4 CILINDROS) AÑO 00-08 (VS-50347-2G)</t>
  </si>
  <si>
    <t>FILTRO DE ACEITE SIFT ML-321</t>
  </si>
  <si>
    <t>1227515103387</t>
  </si>
  <si>
    <t>FILTRO DE ACEITE SIFT ML-3387</t>
  </si>
  <si>
    <t>EMPACADURA TAPAVALVULA MORADA FRACO (FIAT PALIO / SIENA)  MOTOR FIRE 8 VALVULAS 1.0 / 1.4 (4 CILINDROS) AÑO 01-06 (VS-2114-G)</t>
  </si>
  <si>
    <t>FILTRO DE ACEITE SIFT ML-3593</t>
  </si>
  <si>
    <t>FILTRO DE ACEITE SIFT ML-3600</t>
  </si>
  <si>
    <t>CABLES DE BUJIAS GM SERIAL 96288956 (CHEVROLET SPARK)</t>
  </si>
  <si>
    <t>CABLES DE BUJIAS GM SERIAL 96211948 (CHEVROLET AVEO)</t>
  </si>
  <si>
    <t>FILTRO DE ACEITE SIFT ML-3614</t>
  </si>
  <si>
    <t>FILTRO DE ACEITE SIFT ML-3675</t>
  </si>
  <si>
    <t>FILTRO DE ACEITE SIFT ML-3682</t>
  </si>
  <si>
    <t>CABLES DE BUJIAS AYD SERIAL AYD12192133-1 (CHEVROLET AVALANCHE /  CHEYENNE / GRAND BLAZER / IMPALA / SILVERADO 5.3 / TAHOE / TRAILBLAZER)</t>
  </si>
  <si>
    <t>FILTRO DE ACEITE SIFT ML-3807</t>
  </si>
  <si>
    <t>CABLES DE BUJIAS AYD SERIAL AYD96460220 (CHEVROLET OPTRA 1.8 (04-12) / TACUMA 2.0 (01-02) / ASTRA 2.0 (05-06)</t>
  </si>
  <si>
    <t>FILTRO DE ACEITE SIFT ML-3950</t>
  </si>
  <si>
    <t>CABLES DE BUJIAS AYD SERIAL AYD96288956-1 CHEVROLET SPARK 1.0 (06-12)</t>
  </si>
  <si>
    <t>FILTRO DE ACEITE SIFT ML-3980</t>
  </si>
  <si>
    <t>FILTRO DE ACEITE SIFT ML-4558</t>
  </si>
  <si>
    <t>FILTRO DE ACEITE SIFT ML-4952</t>
  </si>
  <si>
    <t>CABLES DE BUJIAS YUKKAZO SERIAL 11AY223/14N</t>
  </si>
  <si>
    <t>FILTRO DE ACEITE SIFT ML-4967</t>
  </si>
  <si>
    <t>FILTRO DE ACEITE SIFT ML-4997</t>
  </si>
  <si>
    <t xml:space="preserve">CABLES DAEWOO 948 VERIFICAR QUE VEHICULO </t>
  </si>
  <si>
    <t>FILTRO DE ACEITE SIFT ML-5548</t>
  </si>
  <si>
    <t>FILTRO DE ACEITE SIFT ML-5552</t>
  </si>
  <si>
    <t xml:space="preserve">CABLES DAEWOO 495  VERIFICAR QUE VEHICULO </t>
  </si>
  <si>
    <t>FILTRO DE ACEITE SIFT ML-5566</t>
  </si>
  <si>
    <t>KIT DE EMPACADURAS NGS AVEO SERIAL 93740513 (1 HUECO)</t>
  </si>
  <si>
    <t>1227515105796</t>
  </si>
  <si>
    <t>FILTRO DE ACEITE SIFT ML-5796</t>
  </si>
  <si>
    <t>FILTRO DE ACEITE SIFT ML-5885</t>
  </si>
  <si>
    <t>KIT DE EMPACADURAS NGS AVEO SERIAL 93740012 (2 HUECOS)</t>
  </si>
  <si>
    <t>FILTRO DE ACEITE SIFT ML-5949</t>
  </si>
  <si>
    <t>KIT DE EMPACADURAS TARANTO VOLKSWAGEN GOLF / FOX 2003-2005 / SERIAL 22 40 00 R-MLS</t>
  </si>
  <si>
    <t>FILTRO DE ACEITE SIFT ML-6607</t>
  </si>
  <si>
    <t>FILTRO DE ACEITE SIFT ML-9018</t>
  </si>
  <si>
    <t>FILTRO DE ACEITE SIFT ML-9090</t>
  </si>
  <si>
    <t>FILTRO DE ACEITE SIFT ML-9437</t>
  </si>
  <si>
    <t>FILTRO DE ACEITE SIFT ML-9463</t>
  </si>
  <si>
    <t>FILTRO DE ACEITE SIFT ML-9814</t>
  </si>
  <si>
    <t>FILTRO DE ACEITE SIFT ML-9999</t>
  </si>
  <si>
    <t>FILTRO DE ACEITE SIFT ML-10060</t>
  </si>
  <si>
    <t>FILTRO DE ACEITE SIFT ML-12027</t>
  </si>
  <si>
    <t>FILTRO DE ACEITE SIFT ML-12137</t>
  </si>
  <si>
    <t>FILTRO DE ACEITE SIFT ML-12448</t>
  </si>
  <si>
    <t>FILTRO DE ACEITE SIFT ML-16262</t>
  </si>
  <si>
    <t>FILTRO DE ACEITE SIFT ML-16263</t>
  </si>
  <si>
    <t>FILTRO DE ACEITE SIFT ML-19547</t>
  </si>
  <si>
    <t>FILTRO DE ACEITE SIFT ML-19626</t>
  </si>
  <si>
    <t>TEIPE COBRA</t>
  </si>
  <si>
    <t>FILTRO DE ACEITE SIFT ML-20004</t>
  </si>
  <si>
    <t>1227515102010</t>
  </si>
  <si>
    <t>FILTRO DE ACEITE SIFT ML-53597 (SF-2010)</t>
  </si>
  <si>
    <t>FILTRO DE ACEITE SIFT ML-44155</t>
  </si>
  <si>
    <t>FILTRO DE ACEITE SIFT ML-61759</t>
  </si>
  <si>
    <t>FILTRO DE ACEITE SIFT ML-96796</t>
  </si>
  <si>
    <t>TABLA PEGADA PARED</t>
  </si>
  <si>
    <t>FILTRO DE ACEITE SIFT BMW</t>
  </si>
  <si>
    <t>0724373651040</t>
  </si>
  <si>
    <t>FILTRO DE ACEITE QUALID ML-2</t>
  </si>
  <si>
    <t>FILTRO DE ACEITE QUALID ML-2C</t>
  </si>
  <si>
    <t>FILTRO DE ACEITE QUALID ML-8</t>
  </si>
  <si>
    <t>FILTRO DE ACEITE QUALID ML-13</t>
  </si>
  <si>
    <t>0724373651071</t>
  </si>
  <si>
    <t>FILTRO DE ACEITE QUALID ML-16</t>
  </si>
  <si>
    <t>FILTRO DE ACEITE QUALID ML-321</t>
  </si>
  <si>
    <t>0724373651118</t>
  </si>
  <si>
    <t>FILTRO DE ACEITE QUALID ML-3387</t>
  </si>
  <si>
    <t>0724373651279</t>
  </si>
  <si>
    <t>FILTRO DE ACEITE QUALID ML-3593</t>
  </si>
  <si>
    <t>FILTRO DE ACEITE QUALID ML-3600</t>
  </si>
  <si>
    <t>0724373651132</t>
  </si>
  <si>
    <t>FILTRO DE ACEITE QUALID ML-3614</t>
  </si>
  <si>
    <t>FILTRO DE ACEITE QUALID ML-3675</t>
  </si>
  <si>
    <t>FILTRO DE ACEITE QUALID ML-3682</t>
  </si>
  <si>
    <t>0724373651149</t>
  </si>
  <si>
    <t>FILTRO DE ACEITE QUALID ML-3807</t>
  </si>
  <si>
    <t xml:space="preserve">CEPILLO HELLA SUPERWIND BOOMERANG 14" </t>
  </si>
  <si>
    <t>FILTRO DE ACEITE QUALID ML-3980</t>
  </si>
  <si>
    <t>FILTRO DE ACEITE QUALID ML-4558</t>
  </si>
  <si>
    <t xml:space="preserve">CEPILLO HELLA SUPERWIND BOOMERANG 17" </t>
  </si>
  <si>
    <t>FILTRO DE ACEITE QUALID ML-4952</t>
  </si>
  <si>
    <t>0724373651170</t>
  </si>
  <si>
    <t>FILTRO DE ACEITE QUALID ML-4967</t>
  </si>
  <si>
    <t xml:space="preserve">CEPILLO HELLA SUPERWIND BOOMERANG 18" </t>
  </si>
  <si>
    <t>0724373653662</t>
  </si>
  <si>
    <t>FILTRO DE ACEITE QUALID ML-4997</t>
  </si>
  <si>
    <t>FILTRO DE ACEITE QUALID ML-5548</t>
  </si>
  <si>
    <t xml:space="preserve">CEPILLO HELLA SUPERWIND BOOMERANG 26" </t>
  </si>
  <si>
    <t xml:space="preserve">CEPILLO BEWAHRT EXTREMEWIND BOOMERANG 28" </t>
  </si>
  <si>
    <t>FILTRO DE ACEITE QUALID ML-5552</t>
  </si>
  <si>
    <t>FILTRO DE ACEITE QUALID ML-5566</t>
  </si>
  <si>
    <t>FILTRO DE ACEITE QUALID ML-5796</t>
  </si>
  <si>
    <t>FILTRO DE ACEITE QUALID ML-5885</t>
  </si>
  <si>
    <t>FILTRO DE ACEITE QUALID ML-5949</t>
  </si>
  <si>
    <t>FILTRO DE ACEITE QUALID ML-6607</t>
  </si>
  <si>
    <t>FILTRO DE ACEITE QUALID ML-9018</t>
  </si>
  <si>
    <t>FILTRO DE ACEITE QUALID ML-9090</t>
  </si>
  <si>
    <t>FILTRO DE ACEITE QUALID ML-9437</t>
  </si>
  <si>
    <t>FILTRO DE ACEITE QUALID ML-9463</t>
  </si>
  <si>
    <t>FILTRO DE ACEITE QUALID ML-9814</t>
  </si>
  <si>
    <t>FILTRO DE ACEITE QUALID ML-9999</t>
  </si>
  <si>
    <t>0724373651088</t>
  </si>
  <si>
    <t>FILTRO DE ACEITE QUALID ML-10060</t>
  </si>
  <si>
    <t>FILTRO DE ACEITE QUALID ML-12027</t>
  </si>
  <si>
    <t>FILTRO DE ACEITE QUALID ML-12137</t>
  </si>
  <si>
    <t>FILTRO DE ACEITE QUALID ML-12448</t>
  </si>
  <si>
    <t>FILTRO DE ACEITE QUALID ML-16262</t>
  </si>
  <si>
    <t>FILTRO DE ACEITE QUALID ML-16263</t>
  </si>
  <si>
    <t>FILTRO DE ACEITE QUALID ML-19547</t>
  </si>
  <si>
    <t>FILTRO DE ACEITE QUALID ML-19626</t>
  </si>
  <si>
    <t>0724373651101</t>
  </si>
  <si>
    <t>FILTRO DE ACEITE QUALID ML-20004</t>
  </si>
  <si>
    <t>FILTRO DE ACEITE QUALID ML-53597</t>
  </si>
  <si>
    <t>FILTRO DE ACEITE QUALID ML-44155</t>
  </si>
  <si>
    <t>FILTRO DE ACEITE QUALID ML-61759</t>
  </si>
  <si>
    <t>FILTRO DE ACEITE QUALID ML-96796</t>
  </si>
  <si>
    <t>FILTRO DE ACEITE CARDOC ML-2</t>
  </si>
  <si>
    <t>FILTRO DE ACEITE CARDOC ML-2C</t>
  </si>
  <si>
    <t>7597079000008</t>
  </si>
  <si>
    <t>FILTRO DE ACEITE CARDOC ML-8</t>
  </si>
  <si>
    <t>FILTRO DE ACEITE CARDOC ML-13</t>
  </si>
  <si>
    <t>FILTRO DE ACEITE CARDOC ML-16</t>
  </si>
  <si>
    <t>FILTRO DE ACEITE CARDOC ML-321</t>
  </si>
  <si>
    <t>7597078000047</t>
  </si>
  <si>
    <t>FILTRO DE ACEITE CARDOC ML-3387</t>
  </si>
  <si>
    <t>FILTRO DE ACEITE CARDOC ML-3593</t>
  </si>
  <si>
    <t>FILTRO DE ACEITE CARDOC ML-3600</t>
  </si>
  <si>
    <t>FILTRO DE ACEITE CARDOC ML-3614</t>
  </si>
  <si>
    <t>ESTANTE 1</t>
  </si>
  <si>
    <t>FILTRO DE ACEITE CARDOC ML-3675</t>
  </si>
  <si>
    <t>FILTRO DE ACEITE CARDOC ML-3682</t>
  </si>
  <si>
    <t>FILTRO DE ACEITE CARDOC ML-3807</t>
  </si>
  <si>
    <t>FILTRO DE ACEITE CARDOC ML-3950</t>
  </si>
  <si>
    <t>FILTRO DE ACEITE CARDOC ML-3980</t>
  </si>
  <si>
    <t>FILTRO DE ACEITE CARDOC ML-4558</t>
  </si>
  <si>
    <t>FILTRO DE ACEITE CARDOC ML-4952</t>
  </si>
  <si>
    <t>7597071004967</t>
  </si>
  <si>
    <t>FILTRO DE ACEITE CARDOC ML-4967</t>
  </si>
  <si>
    <t>FILTRO DE ACEITE CARDOC ML-4997</t>
  </si>
  <si>
    <t>FILTRO DE ACEITE CARDOC ML-5548</t>
  </si>
  <si>
    <t>FILTRO DE ACEITE CARDOC ML-5552</t>
  </si>
  <si>
    <t>FILTRO DE ACEITE CARDOC ML-5566</t>
  </si>
  <si>
    <t>FILTRO DE ACEITE CARDOC ML-5796</t>
  </si>
  <si>
    <t>7597070002643</t>
  </si>
  <si>
    <t>FILTRO DE ACEITE CARDOC ML-5885</t>
  </si>
  <si>
    <t>ACEITE OILVEN 20W/50 MINERAL</t>
  </si>
  <si>
    <t>FILTRO DE ACEITE CARDOC ML-5949</t>
  </si>
  <si>
    <t>FILTRO DE ACEITE CARDOC ML-6607</t>
  </si>
  <si>
    <t>FILTRO DE ACEITE CARDOC ML-9018</t>
  </si>
  <si>
    <t>FILTRO DE ACEITE CARDOC ML-9090</t>
  </si>
  <si>
    <t>FILTRO DE ACEITE CARDOC ML-9437</t>
  </si>
  <si>
    <t>7597070002995</t>
  </si>
  <si>
    <t>FILTRO DE ACEITE CARDOC ML-9443</t>
  </si>
  <si>
    <t>7597070004074</t>
  </si>
  <si>
    <t>FILTRO DE ACEITE CARDOC ML-9463</t>
  </si>
  <si>
    <t>7597070009543</t>
  </si>
  <si>
    <t>FILTRO DE ACEITE CARDOC ML-9540</t>
  </si>
  <si>
    <t>FILTRO DE ACEITE CARDOC ML-9814</t>
  </si>
  <si>
    <t>FILTRO DE ACEITE CARDOC ML-9999</t>
  </si>
  <si>
    <t>FILTRO DE ACEITE CARDOC ML-10060</t>
  </si>
  <si>
    <t>FILTRO DE ACEITE CARDOC ML-12027</t>
  </si>
  <si>
    <t>FILTRO DE ACEITE CARDOC ML-12137</t>
  </si>
  <si>
    <t>FILTRO DE ACEITE CARDOC ML-12448</t>
  </si>
  <si>
    <t>FILTRO DE ACEITE CARDOC ML-16262</t>
  </si>
  <si>
    <t>FILTRO DE ACEITE CARDOC ML-16263</t>
  </si>
  <si>
    <t>FILTRO DE ACEITE CARDOC ML-19547</t>
  </si>
  <si>
    <t>FILTRO DE ACEITE CARDOC ML-19626</t>
  </si>
  <si>
    <t>FILTRO DE ACEITE CARDOC ML-20004</t>
  </si>
  <si>
    <t>FILTRO DE ACEITE CARDOC ML-53597</t>
  </si>
  <si>
    <t>FILTRO DE ACEITE CARDOC ML-44155</t>
  </si>
  <si>
    <t>FILTRO DE ACEITE CARDOC ML-61759</t>
  </si>
  <si>
    <t>FILTRO DE ACEITE CARDOC ML-96796</t>
  </si>
  <si>
    <t>FILTRO DE ACEITE VEGA ML-2</t>
  </si>
  <si>
    <t>FILTRO DE ACEITE VEGA ML-2C</t>
  </si>
  <si>
    <t>FILTRO DE ACEITE VEGA ML-8</t>
  </si>
  <si>
    <t>FILTRO DE ACEITE VEGA ML-13</t>
  </si>
  <si>
    <t>FILTRO DE ACEITE VEGA ML-16</t>
  </si>
  <si>
    <t xml:space="preserve">ACEITE OILSTONE 25W/50 MINERAL </t>
  </si>
  <si>
    <t>FILTRO DE ACEITE VEGA ML-321</t>
  </si>
  <si>
    <t>ACEITE OILSTONE 15W/40 SEMISINTETICO</t>
  </si>
  <si>
    <t>FILTRO DE ACEITE VEGA ML-3387</t>
  </si>
  <si>
    <t>FILTRO DE ACEITE VEGA ML-3593</t>
  </si>
  <si>
    <t>REFRIGERANTE BLUE1 10% ROJO</t>
  </si>
  <si>
    <t>FILTRO DE ACEITE VEGA ML-3600</t>
  </si>
  <si>
    <t>FILTRO DE ACEITE VEGA ML-3614</t>
  </si>
  <si>
    <t>FILTRO DE ACEITE VEGA ML-3675</t>
  </si>
  <si>
    <t>FILTRO DE ACEITE VEGA ML-3682</t>
  </si>
  <si>
    <t>FILTRO DE ACEITE VEGA ML-3807</t>
  </si>
  <si>
    <t>ESTANTE 2</t>
  </si>
  <si>
    <t>FILTRO DE ACEITE VEGA ML-3980</t>
  </si>
  <si>
    <t>7593015005373</t>
  </si>
  <si>
    <t>FILTRO DE ACEITE VEGA ML-4900</t>
  </si>
  <si>
    <t>FILTRO DE ACEITE VEGA ML-4558</t>
  </si>
  <si>
    <t>7593015004864</t>
  </si>
  <si>
    <t>FILTRO DE ACEITE VEGA ML-4952</t>
  </si>
  <si>
    <t>FILTRO DE ACEITE VEGA ML-4967</t>
  </si>
  <si>
    <t>FILTRO DE ACEITE VEGA ML-4997</t>
  </si>
  <si>
    <t>FILTRO DE ACEITE VEGA ML-5548</t>
  </si>
  <si>
    <t>FILTRO DE ACEITE VEGA ML-5552</t>
  </si>
  <si>
    <t>FILTRO DE ACEITE VEGA ML-5566</t>
  </si>
  <si>
    <t>FILTRO DE ACEITE VEGA ML-5796</t>
  </si>
  <si>
    <t>FILTRO DE ACEITE VEGA ML-5885</t>
  </si>
  <si>
    <t>ACEITE BLUE1 25W/60 MINERAL</t>
  </si>
  <si>
    <t>FILTRO DE ACEITE VEGA ML-5949</t>
  </si>
  <si>
    <t>7593015027061</t>
  </si>
  <si>
    <t>FILTRO DE ACEITE VEGA ML-6607</t>
  </si>
  <si>
    <t>FILTRO DE ACEITE VEGA ML-9018</t>
  </si>
  <si>
    <t>FILTRO DE ACEITE VEGA ML-9090</t>
  </si>
  <si>
    <t>7593015053343</t>
  </si>
  <si>
    <t>FILTRO DE ACEITE VEGA ML-9437</t>
  </si>
  <si>
    <t>FILTRO DE ACEITE VEGA ML-9463</t>
  </si>
  <si>
    <t>FILTRO DE ACEITE VEGA ML-9814</t>
  </si>
  <si>
    <t>FILTRO DE ACEITE VEGA ML-9999</t>
  </si>
  <si>
    <t>FILTRO DE ACEITE VEGA ML-10060</t>
  </si>
  <si>
    <t>FILTRO DE ACEITE VEGA ML-12027</t>
  </si>
  <si>
    <t>FILTRO DE ACEITE VEGA ML-12137</t>
  </si>
  <si>
    <t>FILTRO DE ACEITE VEGA ML-12448</t>
  </si>
  <si>
    <t>FILTRO DE ACEITE VEGA ML-16262</t>
  </si>
  <si>
    <t>FILTRO DE ACEITE VEGA ML-16263</t>
  </si>
  <si>
    <t>FILTRO DE ACEITE VEGA ML-19547</t>
  </si>
  <si>
    <t>FILTRO DE ACEITE VEGA ML-19626</t>
  </si>
  <si>
    <t>FILTRO DE ACEITE VEGA ML-20004</t>
  </si>
  <si>
    <t>FILTRO DE ACEITE VEGA ML-53597</t>
  </si>
  <si>
    <t>ACEITE MOTUL 20W/50 MINERAL</t>
  </si>
  <si>
    <t>FILTRO DE ACEITE VEGA ML-44155</t>
  </si>
  <si>
    <t>FILTRO DE ACEITE VEGA ML-61759</t>
  </si>
  <si>
    <t>ACEITE MOTUL 15W/40 SEMISINTETICO</t>
  </si>
  <si>
    <t>FILTRO DE ACEITE VEGA ML-96796</t>
  </si>
  <si>
    <t>7593015031181</t>
  </si>
  <si>
    <t>FILTRO DE ACEITE VEGA LVL - 3614</t>
  </si>
  <si>
    <t>ACEITE MOTUL 0W/20 SINTETICO</t>
  </si>
  <si>
    <t>7593015031204</t>
  </si>
  <si>
    <t>FILTRO DE ACEITE VEGA LVL - 4967</t>
  </si>
  <si>
    <t>7593015031198</t>
  </si>
  <si>
    <t>FILTRO DE ACEITE VEGA LVL - 6607</t>
  </si>
  <si>
    <t>7593015031280</t>
  </si>
  <si>
    <t>FILTRO DE ACEITE VEGA LVL - 13</t>
  </si>
  <si>
    <t>7593015031297</t>
  </si>
  <si>
    <t>FILTRO DE ACEITE VEGA LVL - 2C</t>
  </si>
  <si>
    <t>FILTRO DE ACEITE MHW ML-2</t>
  </si>
  <si>
    <t>FILTRO DE ACEITE A1 ML-2C</t>
  </si>
  <si>
    <t>A1</t>
  </si>
  <si>
    <t>6956216251672</t>
  </si>
  <si>
    <t>FILTRO DE ACEITE SEINECA ML-13</t>
  </si>
  <si>
    <t>7596433045518</t>
  </si>
  <si>
    <t>FILTRO DE ACEITE STP ML-8</t>
  </si>
  <si>
    <t>4402117371080</t>
  </si>
  <si>
    <t>FILTRO DE ACEITE STP ML-16</t>
  </si>
  <si>
    <t>FILTRO DE ACEITE CROIX ML-321</t>
  </si>
  <si>
    <t>FILTRO DE ACEITE GAT G-7317 (ML-3593)</t>
  </si>
  <si>
    <t>FILTRO DE ACEITE A1 ML-3593</t>
  </si>
  <si>
    <t>7592293006539</t>
  </si>
  <si>
    <t>FILTRO DE ACEITE WINNER P-960 (ML-321)</t>
  </si>
  <si>
    <t>ACEITE SKY 10W/30 SEMISINTETICO</t>
  </si>
  <si>
    <t>7592293004146</t>
  </si>
  <si>
    <t>FILTRO DE ACEITE WINNER PH-2867 (ML-3593)</t>
  </si>
  <si>
    <t>FILTRO DE ACEITE A1 ML-3675</t>
  </si>
  <si>
    <t>ACEITE SKY 15W/40 SEMISINTETICO</t>
  </si>
  <si>
    <t>FILTRO DE ACEITE WINNER PH-59 (ML-3675)</t>
  </si>
  <si>
    <t>FILTRO DE ACEITE WINNER PH-2827 (ML-3682)</t>
  </si>
  <si>
    <t>ACEITE SKY 20W/50 SEMISINTETICO</t>
  </si>
  <si>
    <t>FILTRO DE ACEITE KEYSTONE ML-3807</t>
  </si>
  <si>
    <t>ACEITE MOBIL 20W/50 MINERAL</t>
  </si>
  <si>
    <t>FILTRO DE ACEITE KEYSTONE ML-3980</t>
  </si>
  <si>
    <t>ACEITE MOBIL 5W/30 SEMISINTETICO</t>
  </si>
  <si>
    <t>FILTRO DE ACEITE NSF ML-3950</t>
  </si>
  <si>
    <t>7596433045419</t>
  </si>
  <si>
    <t>FILTRO DE ACEITE STP ML-3387</t>
  </si>
  <si>
    <t>ACEITE MOBIL 15W/40 SEMISINTETICO</t>
  </si>
  <si>
    <t>7596433045433</t>
  </si>
  <si>
    <t>FILTRO DE ACEITE STP ML-3600</t>
  </si>
  <si>
    <t xml:space="preserve">REFRIGERANTE ACDELCO NACIONAL 50% </t>
  </si>
  <si>
    <t>7596433045471</t>
  </si>
  <si>
    <t>FILTRO DE ACEITE STP ML-3614</t>
  </si>
  <si>
    <t>7596433045440</t>
  </si>
  <si>
    <t>FILTRO DE ACEITE STP ML-3807</t>
  </si>
  <si>
    <t xml:space="preserve">REFRIGERANTE ACDELCO IMPORTADO 50% </t>
  </si>
  <si>
    <t>FILTRO DE ACEITE STP ML-3980</t>
  </si>
  <si>
    <t xml:space="preserve">REFRIGERANTE QUALID ROJO 15% </t>
  </si>
  <si>
    <t>756433045426</t>
  </si>
  <si>
    <t>FILTRO DE ACEITE STP ML-4967</t>
  </si>
  <si>
    <t>759633045570</t>
  </si>
  <si>
    <t>FILTRO DE ACEITE STP ML-5566</t>
  </si>
  <si>
    <t>FILTRO DE ACEITE GAT ML-4967</t>
  </si>
  <si>
    <t>FILTRO DE ACEITE AKSU ML-4967</t>
  </si>
  <si>
    <t>FILTRO DE ACEITE DENSO ML-4967</t>
  </si>
  <si>
    <t>ESTANTE 3</t>
  </si>
  <si>
    <t>FILTRO DE ACEITE A1 ML-4967</t>
  </si>
  <si>
    <t>FILTRO DE ACEITE SEINECA ML-4967</t>
  </si>
  <si>
    <t>FILTRO DE ACEITE WINNER PH-2840 (ML-4967)</t>
  </si>
  <si>
    <t>7592293009974</t>
  </si>
  <si>
    <t>FILTRO DE ACEITE WINNER WPH-2835 (ML-5548) SIN ROSCA</t>
  </si>
  <si>
    <t>7592293000254</t>
  </si>
  <si>
    <t xml:space="preserve">FILTRO DE ACEITE WINNER WPH-2876 (ML-6607) </t>
  </si>
  <si>
    <t>FILTRO DE ACEITE FC ML-5566</t>
  </si>
  <si>
    <t>FILTRO DE ACEITE WIX ML-5552</t>
  </si>
  <si>
    <t>FILTRO DE ACEITE GAT ML-5796</t>
  </si>
  <si>
    <t>FILTRO DE ACEITE SEINECA ML-5796</t>
  </si>
  <si>
    <t>FILTRO DE ACEITE A1 ML-5949</t>
  </si>
  <si>
    <t>FILTRO DE ACEITE KEYSTONE ML-6607</t>
  </si>
  <si>
    <t>6956216251696</t>
  </si>
  <si>
    <t>FILTRO DE ACEITE SEINECA ML-5949 (SOF-K-2399)</t>
  </si>
  <si>
    <t>FILTRO DE ACEITE WINNER PH-2833 (ML-9437) ELEMENTO</t>
  </si>
  <si>
    <t>FILTRO DE ACEITE A1 ML-9018 ELEMENTO</t>
  </si>
  <si>
    <t>FILTRO DE ACEITE CHAMPION ML-9018</t>
  </si>
  <si>
    <t>FILTRO DE ACEITE AKSU ML-9463</t>
  </si>
  <si>
    <t>FILTRO DE ACEITE CHAMPION ML-9814</t>
  </si>
  <si>
    <t>FILTRO DE ACEITE STP ML-10060</t>
  </si>
  <si>
    <t>2172022100018</t>
  </si>
  <si>
    <t>FILTRO DE ACEITE MARUSSI ML-10060</t>
  </si>
  <si>
    <t>FILTRO DE ACEITE MHW ML-10060</t>
  </si>
  <si>
    <t>FILTRO DE ACEITE WINNER PH-2010 (ML-53597)</t>
  </si>
  <si>
    <t>7592293000100</t>
  </si>
  <si>
    <t>FILTRO DE ACEITE WINNER P-253 (ML-53597)</t>
  </si>
  <si>
    <t>FILTRO DE ACEITE AKSU ML-61759</t>
  </si>
  <si>
    <t>FILTRO DE PILA DE GASOLINA 2068</t>
  </si>
  <si>
    <t>FILTRO DE PILA DE GASOLINA 2157</t>
  </si>
  <si>
    <t>FILTRO DE PILA DE GASOLINA 249E</t>
  </si>
  <si>
    <t>FILTRO DE PILA DE GASOLINA SAP 50100</t>
  </si>
  <si>
    <t>Refrigerantes</t>
  </si>
  <si>
    <t>0793969642977</t>
  </si>
  <si>
    <t>REFRIGERANTE ACDELCO NACIONAL 50%</t>
  </si>
  <si>
    <t>Refrigerante / Naranja</t>
  </si>
  <si>
    <t>021625642093</t>
  </si>
  <si>
    <t>REFRIGERANTE ACDELCO IMPORTADO 50%</t>
  </si>
  <si>
    <t>ACDELCO</t>
  </si>
  <si>
    <t>0724373650876</t>
  </si>
  <si>
    <t>REFRIGERANTE QUALID ROJO 15%</t>
  </si>
  <si>
    <t>0724373650890</t>
  </si>
  <si>
    <t>REFRIGERANTE QUALID VERDE 15%</t>
  </si>
  <si>
    <t>REFRIGERANTE PRO 10% VERDE</t>
  </si>
  <si>
    <t>8429325001141</t>
  </si>
  <si>
    <t>REFRIGERANTE PRO 50% ROJO</t>
  </si>
  <si>
    <t>8429325003329</t>
  </si>
  <si>
    <t>REFRIGERANTE PRO 50% VERDE</t>
  </si>
  <si>
    <t>REFRIGERANTE SCHMIEROL 50% VERDE (LITRO)</t>
  </si>
  <si>
    <t>REFRIGERANTE SCHMIEROL 50% ROJO (LITRO)</t>
  </si>
  <si>
    <t>7593891003159</t>
  </si>
  <si>
    <t xml:space="preserve">REFRIGERANTE OILVEN 50% ROJO </t>
  </si>
  <si>
    <t>7593891003142</t>
  </si>
  <si>
    <t>REFRIGERANTE OILVEN 50% VERDE</t>
  </si>
  <si>
    <t>7593186000498</t>
  </si>
  <si>
    <t>REFRIGERANTE LMV VERDE</t>
  </si>
  <si>
    <t>7593186000795</t>
  </si>
  <si>
    <t>REFRIGERANTE LMV ROJO</t>
  </si>
  <si>
    <t>7595375011551</t>
  </si>
  <si>
    <t>REFRIGERANTE AKSU ROJO</t>
  </si>
  <si>
    <t>7595375011568</t>
  </si>
  <si>
    <t>REFRIGERANTE AKSU VERDE</t>
  </si>
  <si>
    <t>7590009000031</t>
  </si>
  <si>
    <t>REFRIGERANTE FLUVECA ROJO</t>
  </si>
  <si>
    <t>0735940104289</t>
  </si>
  <si>
    <t>REFRIGERANTE H7 ROJO</t>
  </si>
  <si>
    <t>7598241001007</t>
  </si>
  <si>
    <t>REFRIGERANTE TEMPERTONE VERDE</t>
  </si>
  <si>
    <t>7591879001036</t>
  </si>
  <si>
    <t>REFRIGERANTE SPEED7 VERDE</t>
  </si>
  <si>
    <t>Empacaduras, Cables de Bujía, Bujías y Componentes del Motor</t>
  </si>
  <si>
    <t>EMPACADURA DE CAMARA ICRBI CHEVROLET SPARK</t>
  </si>
  <si>
    <t>AMPACADURA TAPAVALVULA KMC TOYOTA STARLET</t>
  </si>
  <si>
    <t>EMPACADURA TAPAVALVULA MORADA FRACO (CHEVROLET AVEO DOHC) MOTOR F16D3 16VALV AÑO 05 EN ADELANTE VS-12861-G</t>
  </si>
  <si>
    <t>EMPACADURA TAPAVALVULA MORADA FRACO (CHEVROLET SPARK) MOTOR B10S 1.0 CIL AÑO 05 EN ADELANTE VS-12851-G</t>
  </si>
  <si>
    <t>EMPACADURA TAPAVALVULA MORADA FRACO (JEEP CHEROKEE LIMITED) MOTOR KK (08-15) / KJ (05-07) 3.7 (6 CILINDROS) (VS-1274-G)</t>
  </si>
  <si>
    <t>EMPACADURA TAPAVALVULA MORADA FRACO (HYUNDAI GETZ / ELANTRA / VERNA) MOTOR GAED DOHC 16 VALVULAS AÑO 06-13 (VS-8704-GR)</t>
  </si>
  <si>
    <t>EMPACADURA TAPAVALVULA MORADA FRACO (CHEVROLET CORSA / CIELO / RACER) MOTOR 1.3 / 1.4 / 1.6 4 CILINDROS AÑO 96-99 (VS-50347-1G)</t>
  </si>
  <si>
    <t>EMPACADURA TAPAVALVULA MORADA FRACO (FIAT PALIO / SIENA) MOTOR FIRE 8 VALVULAS 1.0 / 1.4 (4 CILINDROS) AÑO 01-06 (VS-2114-G)</t>
  </si>
  <si>
    <t xml:space="preserve">Electricidad / Bujía </t>
  </si>
  <si>
    <t>CABLES DE BUJIAS AYD SERIAL AYD12192133-1 (CHEVROLET AVALANCHE / CHEYENNE / GRAND BLAZER / IMPALA / SILVERADO 5.3 / TAHOE / TRAILBLAZER)</t>
  </si>
  <si>
    <t>CABLES DAEWOO 948 VERIFICAR QUE VEHICULO</t>
  </si>
  <si>
    <t>CABLES DAEWOO 495 VERIFICAR QUE VEHICULO</t>
  </si>
  <si>
    <t>PILA DE GASOLINA MARCA CLIPSE</t>
  </si>
  <si>
    <t>BUJIAS BOSCH PLATINIUM (4212)</t>
  </si>
  <si>
    <t>BUJIAS BOSCH PLATINIUM (4307) (DOBLE ELECTRODO)</t>
  </si>
  <si>
    <t>BUJIAS BOSCH PLATINIUM (4308)</t>
  </si>
  <si>
    <t>BUJIAS BOSCH PLATINIUM (4312) (DOBLE ELECTRODO)</t>
  </si>
  <si>
    <t>BUJIAS NGK PUNTA DE IRIDIUM (BKR5EGP)</t>
  </si>
  <si>
    <t>BUJIAS ACDELCO PUNTA DE IRIDIUM (41-110)</t>
  </si>
  <si>
    <t>BUJIAS DENSO T16P-U (5024)</t>
  </si>
  <si>
    <t>BUJIAS DENSO K16R-U11 (3120)</t>
  </si>
  <si>
    <t>BUJIAS DENSO K16PR-U (3191)</t>
  </si>
  <si>
    <t>BUJIAS AKSU ASP-REC10YC4</t>
  </si>
  <si>
    <t>BUJIAS AKSU ASP-RC9YC4</t>
  </si>
  <si>
    <t>BUJIAS MOTORCRAFT IRIDIUM (SP-500)</t>
  </si>
  <si>
    <t>BUJIAS MOTORCRAFT IRIDIUM (SP-411)</t>
  </si>
  <si>
    <t>MOTORCRAFT</t>
  </si>
  <si>
    <t>TAPA RADIADOR 0.9 BAJA (MARCA UNIVERSAL)</t>
  </si>
  <si>
    <t>Radiador / Tapa</t>
  </si>
  <si>
    <t>TAPA RADIADOR 0.9 ALTA (MARCA UNIVERSAL)</t>
  </si>
  <si>
    <t>TAPA RADIADOR 1.1 BAJA (MARCA UNIVERSAL)</t>
  </si>
  <si>
    <t>TAPA RADIADOR 1.1 ALTA (MARCA UNIVERSAL)</t>
  </si>
  <si>
    <t>TAPA RADIADOR 0.9 BAJA (MARCA FC)</t>
  </si>
  <si>
    <t>TAPA RADIADOR 0.9 ALTA (MARCA FC)</t>
  </si>
  <si>
    <t>TAPA RADIADOR 1.1 BAJA (MARCA FC)</t>
  </si>
  <si>
    <t>TAPA RADIADOR 1.1 ALTA (MARCA FC)</t>
  </si>
  <si>
    <t>TAPA RADIADOR JEEP GRAND CHEROKEE (MARCA FC)</t>
  </si>
  <si>
    <t>TAPA RADIADOR JEEP CHEROKEE KK (MARCA FC)</t>
  </si>
  <si>
    <t>TAPA DE GASOLINA UNIVERSAL CON LLAVE</t>
  </si>
  <si>
    <t xml:space="preserve">Gasolina / Tapa </t>
  </si>
  <si>
    <t>TAPA DE GASOLINA UNIVERSAL SIN LLAVE</t>
  </si>
  <si>
    <t>TAPA ENVASE RESERVORIO RENAULT (TODOS GENERICA)</t>
  </si>
  <si>
    <t>Reservorio / Tapa</t>
  </si>
  <si>
    <t>TAPA ENVASE RESERVORIO CHERY ORINOCO 1.8 / ARAUCA</t>
  </si>
  <si>
    <t>TAPA ENVASE RESERVORIO CHEVROLET MALIBU CAPRICE</t>
  </si>
  <si>
    <t>TAPA ENVASE RESERVORIO CHEVROLET CRUZE / SILVERADO</t>
  </si>
  <si>
    <t>TAPA ENVASE RESERVORIO FIAT PALIO / UNO / FIORINO</t>
  </si>
  <si>
    <t>TAPA ENVASE RESERVORIO FIAT PALIO FIRE / FIORINO</t>
  </si>
  <si>
    <t>Iluminación y Componentes Eléctricos (Luces, Bombillos, Reproductores y Relays)</t>
  </si>
  <si>
    <t xml:space="preserve">Pilas </t>
  </si>
  <si>
    <t>LUZ DE FARO CARRO 9005 (6000 LUMENES) TR4+</t>
  </si>
  <si>
    <t>LUZ DE FARO CARRO 9006 (6000 LUMENES) TR4+</t>
  </si>
  <si>
    <t>LUZ DE FARO CARRO 9006 (10000 LUMENES) TR4+</t>
  </si>
  <si>
    <t>LUZ DE FARO CARRO H4 (10000 LUMENES) TR4+</t>
  </si>
  <si>
    <t>LUZ DE FARO CARRO H7 (10000 LUMENES) TR4+</t>
  </si>
  <si>
    <t>LUZ DE FARO CARRO H7 (6000 LUMENES) TR4+</t>
  </si>
  <si>
    <t>LUZ DE FARO CARRO H13 (6000 LUMENES)</t>
  </si>
  <si>
    <t>LUZ DE FARO CARRO H1 (6000 LUMENES) TR4+</t>
  </si>
  <si>
    <t>LUZ DE FARO CARRO H11 (6000 LUMENES) TR4+</t>
  </si>
  <si>
    <t>LUZ DE FARO MOTO (12000 LUMENES) TR4+</t>
  </si>
  <si>
    <t>LUZ DE FARO MOTO (18000 LUMENES) TR4+</t>
  </si>
  <si>
    <t>LUZ DE FARO MOTO H7 (12000 LUMENES) TR4+</t>
  </si>
  <si>
    <t>LUZ DE FARO MOTO H4 (12000 LUMENES) TR4+</t>
  </si>
  <si>
    <t>REPRODUCTOR DE PANTALLA TR4+ (7PULGADAS)</t>
  </si>
  <si>
    <t>REPRODUCTOR DE PANTALLA TR4+ (7PULGADAS) CON CAMARA</t>
  </si>
  <si>
    <t>REPRODUCTOR SENCILLO TR4+</t>
  </si>
  <si>
    <t>LUZ DE RECONOCIMIENTO T10 (T001) TR4+</t>
  </si>
  <si>
    <t>LUZ DE RECONOCIMIENTO T10 (T002) TR4+</t>
  </si>
  <si>
    <t>LUZ DE STOP (UN CONTACTO) AMARILLA</t>
  </si>
  <si>
    <t>LUZ DE RECONOCIMIENTO GEL (GL24)</t>
  </si>
  <si>
    <t>LUZ DE TECHO (G16) 26MM</t>
  </si>
  <si>
    <t>LUZ DE TECHO (G15) FESTON 15 LED</t>
  </si>
  <si>
    <t>LUZ DE STOP (DOS CONTACTOS) BLANCA (STROBO)</t>
  </si>
  <si>
    <t>STROBO</t>
  </si>
  <si>
    <t>LUZ DE STOP 1156 (UN CONTACTO) AMARILLA (LA56) TR4+</t>
  </si>
  <si>
    <t>LUZ DE STOP 1156 (UN CONTACTO) BLANCA (LB56) TR4+</t>
  </si>
  <si>
    <t>LUZ DE STOP 1157 (DOS CONTACTOS) AMARILLA (STR57A) TR4+</t>
  </si>
  <si>
    <t>LUZ DE STOP 7440 (DOS CONTACTOS) AMARILLA (SFA40) TR4+</t>
  </si>
  <si>
    <t>LUZ DE STOP 7440 (CUATRO CONTACTOS) AMARILLA (SFA43) TR4+</t>
  </si>
  <si>
    <t>FILTRO DE ACEITE SIFT ML-53597</t>
  </si>
  <si>
    <t>LUZ DE STOP (DOS CONTACTOS) ROJA (SRFR40) TR4+</t>
  </si>
  <si>
    <t>LUZ DE STOP (CUATRO CONTACTOS) ROJA (SRFR43) TR4+</t>
  </si>
  <si>
    <t>,</t>
  </si>
  <si>
    <t>LUZ DE STOP 1157 (CUATRO CONTACTOS) AMARILLA (SFA43) TR4+</t>
  </si>
  <si>
    <t>RELAY 5 PATAS 12V</t>
  </si>
  <si>
    <t>RELAY 4 PATAS 12V</t>
  </si>
  <si>
    <t>PAQUETE DE CONECTORES 5 PATAS</t>
  </si>
  <si>
    <t>SOCATE H4 CERAMICA 3PATAS</t>
  </si>
  <si>
    <t>H4</t>
  </si>
  <si>
    <t>SOCATE RELAY 5 PATAS CERAMICA</t>
  </si>
  <si>
    <t>PORTAFUSIBLE CERAMICA</t>
  </si>
  <si>
    <t>BOMBILLO H4 HALOGENO</t>
  </si>
  <si>
    <t>BOMBILLO H7 HALOGENO</t>
  </si>
  <si>
    <t>BOMBILLO HAMMER AMBAR (DOS CONTACTOS) (1034)</t>
  </si>
  <si>
    <t>BOMBILLO HAMMER (UN CONTACTO) (1073)</t>
  </si>
  <si>
    <t>BOMBILLO HAMMER (UN CONTACTO) (1156)</t>
  </si>
  <si>
    <t>BOMBILLO T10 MUELITA</t>
  </si>
  <si>
    <t>T10</t>
  </si>
  <si>
    <t>BOMBILLO H3 55W (50% SILVERBRIGHT) PAR BLISTER</t>
  </si>
  <si>
    <t>BOMBILLO H4 55W (50% SILVERBRIGHT) PAR BLISTER</t>
  </si>
  <si>
    <t>BOMBILLO (UN CONTACTO) PEQUEÑO (67)</t>
  </si>
  <si>
    <t>FILTRO DE ACEITE QUALID  ML-321</t>
  </si>
  <si>
    <t xml:space="preserve">FILTRO DE ACEITE STP ML-3980 </t>
  </si>
  <si>
    <t>FILTRO DE ACEITE SEINECA ML-5949</t>
  </si>
  <si>
    <t>ESTANTE 5</t>
  </si>
  <si>
    <t>ESTANTE 6</t>
  </si>
  <si>
    <t>ESTANTE PEQUEÑO</t>
  </si>
  <si>
    <t xml:space="preserve">REFRIGERANTE SCHMIEROL 50% VERDE (LITRO) </t>
  </si>
  <si>
    <t xml:space="preserve">REFRIGERANTE SCHMIEROL 50% ROJO (LITRO) </t>
  </si>
  <si>
    <t xml:space="preserve">    </t>
  </si>
  <si>
    <t>FORROS DE VOLANTE NEGRO TR4+</t>
  </si>
  <si>
    <t>FORROS DE VOLANTE GRIS TR4+</t>
  </si>
  <si>
    <t>FORROS DE VOLANTE BEIGE TR4+</t>
  </si>
  <si>
    <t xml:space="preserve">REPRODUCTOR SENCILLO TR4+ </t>
  </si>
  <si>
    <t>LUZ DE STOP (DOS CONTACTOS) BLANCA STROBO</t>
  </si>
  <si>
    <t>KIT DE ABRAZADERAS METALICAS PARA TRIPOIDE</t>
  </si>
  <si>
    <t>EXTINTORES FIRE STOP</t>
  </si>
  <si>
    <t>PINTURA SPRAY CHAMPION NEGRO MATE</t>
  </si>
  <si>
    <t>PINTURA SPRAY CHAMPION PLATEADO BRILLANTE</t>
  </si>
  <si>
    <t>PAÑITOS DE MICROFIBRA AZUL</t>
  </si>
  <si>
    <t>PAÑITOS DE MICROFIBRA AMARILLO</t>
  </si>
  <si>
    <t>CUERO PARA CARROS CLEAN CHAM</t>
  </si>
  <si>
    <t xml:space="preserve">SOCATE RELAY 5 PATAS CERAMICA </t>
  </si>
  <si>
    <t>MOTORKOTE GEAR BOX (CAJA)</t>
  </si>
  <si>
    <t>MOTORKOTE HIPER LUBRICANTE (MOTOR)</t>
  </si>
  <si>
    <t xml:space="preserve">TAPA DE GASOLINA UNIVERSAL CON LLAVE </t>
  </si>
  <si>
    <t xml:space="preserve">TAPA DE GASOLINA UNIVERSAL SIN LLAVE </t>
  </si>
  <si>
    <t>ABRAZADERA 12-20MM</t>
  </si>
  <si>
    <t>ABRAZADERA 18-32MM</t>
  </si>
  <si>
    <t>ABRAZADERA 33-57MM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</si>
</sst>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409]* #,##0.00_ ;_-[$$-409]* \-#,##0.00\ ;_-[$$-409]* &quot;-&quot;??_ ;_-@_ "/>
  </numFmts>
  <fonts count="2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20.0"/>
      <color theme="1"/>
      <name val="Calibri"/>
    </font>
    <font/>
    <font>
      <sz val="11.0"/>
      <color theme="1"/>
      <name val="Calibri"/>
    </font>
    <font>
      <sz val="11.0"/>
      <color rgb="FF000000"/>
      <name val="Arial"/>
    </font>
    <font>
      <color theme="1"/>
      <name val="Arial"/>
    </font>
    <font>
      <b/>
      <u/>
      <sz val="14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sz val="12.0"/>
      <color theme="1"/>
      <name val="Calibri"/>
    </font>
    <font>
      <b/>
      <sz val="14.0"/>
      <color rgb="FFFF0000"/>
      <name val="Calibri"/>
    </font>
    <font>
      <b/>
      <sz val="12.0"/>
      <color rgb="FFC55A11"/>
      <name val="Calibri"/>
    </font>
    <font>
      <b/>
      <sz val="11.0"/>
      <color theme="1"/>
      <name val="Arial"/>
    </font>
    <font>
      <b/>
      <sz val="20.0"/>
      <color rgb="FFFF0000"/>
      <name val="Calibri"/>
    </font>
    <font>
      <b/>
      <sz val="14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b/>
      <sz val="11.0"/>
      <color rgb="FFC55A11"/>
      <name val="Calibri"/>
    </font>
    <font>
      <b/>
      <sz val="11.0"/>
      <color rgb="FFFF0000"/>
      <name val="Calibri"/>
    </font>
    <font>
      <sz val="12.0"/>
      <color rgb="FF000000"/>
      <name val="Arial"/>
    </font>
    <font>
      <b/>
      <sz val="14.0"/>
      <color rgb="FFFF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5B9BD5"/>
        <bgColor rgb="FF5B9BD5"/>
      </patternFill>
    </fill>
  </fills>
  <borders count="17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3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3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0" fillId="0" fontId="6" numFmtId="0" xfId="0" applyFont="1"/>
    <xf borderId="5" fillId="3" fontId="7" numFmtId="0" xfId="0" applyAlignment="1" applyBorder="1" applyFont="1">
      <alignment horizontal="center" shrinkToFit="0" vertical="center" wrapText="1"/>
    </xf>
    <xf borderId="1" fillId="0" fontId="8" numFmtId="49" xfId="0" applyAlignment="1" applyBorder="1" applyFont="1" applyNumberFormat="1">
      <alignment horizontal="center" readingOrder="0" vertical="center"/>
    </xf>
    <xf borderId="5" fillId="4" fontId="9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5" fillId="3" fontId="10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5" fillId="4" fontId="12" numFmtId="0" xfId="0" applyAlignment="1" applyBorder="1" applyFont="1">
      <alignment horizontal="center" vertical="bottom"/>
    </xf>
    <xf borderId="1" fillId="0" fontId="8" numFmtId="9" xfId="0" applyAlignment="1" applyBorder="1" applyFont="1" applyNumberFormat="1">
      <alignment horizontal="center" readingOrder="0" vertical="center"/>
    </xf>
    <xf borderId="5" fillId="6" fontId="11" numFmtId="0" xfId="0" applyAlignment="1" applyBorder="1" applyFill="1" applyFont="1">
      <alignment horizontal="right" vertical="bottom"/>
    </xf>
    <xf borderId="5" fillId="7" fontId="11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5" fillId="8" fontId="13" numFmtId="0" xfId="0" applyAlignment="1" applyBorder="1" applyFill="1" applyFont="1">
      <alignment horizontal="center" vertical="bottom"/>
    </xf>
    <xf borderId="5" fillId="8" fontId="11" numFmtId="10" xfId="0" applyAlignment="1" applyBorder="1" applyFont="1" applyNumberFormat="1">
      <alignment horizontal="right" vertical="bottom"/>
    </xf>
    <xf borderId="5" fillId="8" fontId="11" numFmtId="2" xfId="0" applyAlignment="1" applyBorder="1" applyFont="1" applyNumberFormat="1">
      <alignment horizontal="right" vertical="bottom"/>
    </xf>
    <xf borderId="5" fillId="9" fontId="11" numFmtId="164" xfId="0" applyAlignment="1" applyBorder="1" applyFill="1" applyFont="1" applyNumberFormat="1">
      <alignment horizontal="center" vertical="bottom"/>
    </xf>
    <xf borderId="5" fillId="5" fontId="11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/>
    </xf>
    <xf quotePrefix="1" borderId="1" fillId="0" fontId="8" numFmtId="49" xfId="0" applyAlignment="1" applyBorder="1" applyFont="1" applyNumberFormat="1">
      <alignment horizontal="center" readingOrder="0" vertical="center"/>
    </xf>
    <xf borderId="5" fillId="10" fontId="11" numFmtId="0" xfId="0" applyAlignment="1" applyBorder="1" applyFill="1" applyFont="1">
      <alignment shrinkToFit="0" vertical="center" wrapText="1"/>
    </xf>
    <xf borderId="5" fillId="8" fontId="11" numFmtId="164" xfId="0" applyAlignment="1" applyBorder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11" fontId="5" numFmtId="0" xfId="0" applyAlignment="1" applyFill="1" applyFont="1">
      <alignment readingOrder="0"/>
    </xf>
    <xf borderId="5" fillId="6" fontId="11" numFmtId="0" xfId="0" applyAlignment="1" applyBorder="1" applyFont="1">
      <alignment shrinkToFit="0" vertical="center" wrapText="1"/>
    </xf>
    <xf borderId="0" fillId="5" fontId="6" numFmtId="0" xfId="0" applyFont="1"/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6" fillId="0" fontId="8" numFmtId="49" xfId="0" applyAlignment="1" applyBorder="1" applyFont="1" applyNumberFormat="1">
      <alignment horizontal="center" readingOrder="0" vertical="center"/>
    </xf>
    <xf borderId="6" fillId="0" fontId="8" numFmtId="9" xfId="0" applyAlignment="1" applyBorder="1" applyFont="1" applyNumberFormat="1">
      <alignment horizontal="center" readingOrder="0" vertical="center"/>
    </xf>
    <xf borderId="6" fillId="11" fontId="8" numFmtId="49" xfId="0" applyAlignment="1" applyBorder="1" applyFont="1" applyNumberFormat="1">
      <alignment horizontal="center" readingOrder="0" vertical="center"/>
    </xf>
    <xf borderId="7" fillId="0" fontId="3" numFmtId="0" xfId="0" applyBorder="1" applyFont="1"/>
    <xf borderId="6" fillId="11" fontId="14" numFmtId="49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5" fillId="12" fontId="4" numFmtId="0" xfId="0" applyAlignment="1" applyBorder="1" applyFill="1" applyFont="1">
      <alignment shrinkToFit="0" vertical="center" wrapText="1"/>
    </xf>
    <xf borderId="5" fillId="12" fontId="4" numFmtId="0" xfId="0" applyAlignment="1" applyBorder="1" applyFont="1">
      <alignment vertical="bottom"/>
    </xf>
    <xf borderId="0" fillId="0" fontId="6" numFmtId="0" xfId="0" applyAlignment="1" applyFont="1">
      <alignment horizontal="center" shrinkToFit="0" vertical="center" wrapText="1"/>
    </xf>
    <xf borderId="5" fillId="12" fontId="11" numFmtId="0" xfId="0" applyAlignment="1" applyBorder="1" applyFont="1">
      <alignment horizontal="center" vertical="bottom"/>
    </xf>
    <xf borderId="5" fillId="11" fontId="15" numFmtId="164" xfId="0" applyAlignment="1" applyBorder="1" applyFont="1" applyNumberFormat="1">
      <alignment horizontal="center" vertical="bottom"/>
    </xf>
    <xf borderId="5" fillId="12" fontId="4" numFmtId="164" xfId="0" applyAlignment="1" applyBorder="1" applyFont="1" applyNumberFormat="1">
      <alignment vertical="bottom"/>
    </xf>
    <xf borderId="9" fillId="4" fontId="4" numFmtId="0" xfId="0" applyAlignment="1" applyBorder="1" applyFont="1">
      <alignment vertical="bottom"/>
    </xf>
    <xf borderId="5" fillId="3" fontId="16" numFmtId="0" xfId="0" applyAlignment="1" applyBorder="1" applyFont="1">
      <alignment horizontal="center" shrinkToFit="0" vertical="center" wrapText="1"/>
    </xf>
    <xf borderId="5" fillId="13" fontId="16" numFmtId="0" xfId="0" applyAlignment="1" applyBorder="1" applyFill="1" applyFont="1">
      <alignment horizontal="center"/>
    </xf>
    <xf borderId="5" fillId="3" fontId="16" numFmtId="0" xfId="0" applyAlignment="1" applyBorder="1" applyFont="1">
      <alignment horizontal="center"/>
    </xf>
    <xf borderId="5" fillId="14" fontId="17" numFmtId="0" xfId="0" applyAlignment="1" applyBorder="1" applyFill="1" applyFont="1">
      <alignment shrinkToFit="0" vertical="center" wrapText="1"/>
    </xf>
    <xf borderId="5" fillId="11" fontId="18" numFmtId="0" xfId="0" applyAlignment="1" applyBorder="1" applyFont="1">
      <alignment horizontal="right" vertical="bottom"/>
    </xf>
    <xf borderId="5" fillId="7" fontId="18" numFmtId="0" xfId="0" applyAlignment="1" applyBorder="1" applyFont="1">
      <alignment horizontal="center" vertical="bottom"/>
    </xf>
    <xf borderId="5" fillId="14" fontId="19" numFmtId="0" xfId="0" applyAlignment="1" applyBorder="1" applyFont="1">
      <alignment horizontal="center" vertical="bottom"/>
    </xf>
    <xf borderId="5" fillId="8" fontId="18" numFmtId="10" xfId="0" applyAlignment="1" applyBorder="1" applyFont="1" applyNumberFormat="1">
      <alignment horizontal="right" vertical="bottom"/>
    </xf>
    <xf borderId="5" fillId="8" fontId="18" numFmtId="2" xfId="0" applyAlignment="1" applyBorder="1" applyFont="1" applyNumberFormat="1">
      <alignment horizontal="right" vertical="bottom"/>
    </xf>
    <xf borderId="5" fillId="9" fontId="20" numFmtId="164" xfId="0" applyAlignment="1" applyBorder="1" applyFont="1" applyNumberFormat="1">
      <alignment horizontal="center" vertical="bottom"/>
    </xf>
    <xf borderId="5" fillId="8" fontId="18" numFmtId="164" xfId="0" applyAlignment="1" applyBorder="1" applyFont="1" applyNumberFormat="1">
      <alignment horizontal="center" vertical="bottom"/>
    </xf>
    <xf borderId="5" fillId="6" fontId="18" numFmtId="0" xfId="0" applyAlignment="1" applyBorder="1" applyFont="1">
      <alignment horizontal="right" vertical="bottom"/>
    </xf>
    <xf borderId="9" fillId="7" fontId="4" numFmtId="0" xfId="0" applyAlignment="1" applyBorder="1" applyFont="1">
      <alignment vertical="bottom"/>
    </xf>
    <xf borderId="5" fillId="4" fontId="16" numFmtId="0" xfId="0" applyAlignment="1" applyBorder="1" applyFont="1">
      <alignment horizontal="center" vertical="bottom"/>
    </xf>
    <xf borderId="5" fillId="5" fontId="18" numFmtId="164" xfId="0" applyAlignment="1" applyBorder="1" applyFont="1" applyNumberFormat="1">
      <alignment horizontal="center" vertical="bottom"/>
    </xf>
    <xf borderId="5" fillId="7" fontId="4" numFmtId="0" xfId="0" applyAlignment="1" applyBorder="1" applyFont="1">
      <alignment vertical="bottom"/>
    </xf>
    <xf borderId="5" fillId="4" fontId="4" numFmtId="0" xfId="0" applyAlignment="1" applyBorder="1" applyFont="1">
      <alignment vertical="bottom"/>
    </xf>
    <xf borderId="5" fillId="12" fontId="4" numFmtId="10" xfId="0" applyAlignment="1" applyBorder="1" applyFont="1" applyNumberFormat="1">
      <alignment vertical="bottom"/>
    </xf>
    <xf borderId="5" fillId="12" fontId="4" numFmtId="2" xfId="0" applyAlignment="1" applyBorder="1" applyFont="1" applyNumberFormat="1">
      <alignment vertical="bottom"/>
    </xf>
    <xf borderId="10" fillId="12" fontId="4" numFmtId="0" xfId="0" applyAlignment="1" applyBorder="1" applyFont="1">
      <alignment shrinkToFit="0" vertical="center" wrapText="1"/>
    </xf>
    <xf borderId="11" fillId="12" fontId="4" numFmtId="0" xfId="0" applyAlignment="1" applyBorder="1" applyFont="1">
      <alignment vertical="bottom"/>
    </xf>
    <xf borderId="11" fillId="12" fontId="4" numFmtId="10" xfId="0" applyAlignment="1" applyBorder="1" applyFont="1" applyNumberFormat="1">
      <alignment vertical="bottom"/>
    </xf>
    <xf borderId="11" fillId="12" fontId="4" numFmtId="2" xfId="0" applyAlignment="1" applyBorder="1" applyFont="1" applyNumberFormat="1">
      <alignment vertical="bottom"/>
    </xf>
    <xf borderId="11" fillId="12" fontId="4" numFmtId="164" xfId="0" applyAlignment="1" applyBorder="1" applyFont="1" applyNumberFormat="1">
      <alignment vertical="bottom"/>
    </xf>
    <xf borderId="12" fillId="12" fontId="4" numFmtId="164" xfId="0" applyAlignment="1" applyBorder="1" applyFont="1" applyNumberFormat="1">
      <alignment vertical="bottom"/>
    </xf>
    <xf borderId="0" fillId="11" fontId="21" numFmtId="49" xfId="0" applyAlignment="1" applyFont="1" applyNumberFormat="1">
      <alignment horizontal="center" readingOrder="0"/>
    </xf>
    <xf borderId="5" fillId="11" fontId="18" numFmtId="2" xfId="0" applyAlignment="1" applyBorder="1" applyFont="1" applyNumberFormat="1">
      <alignment horizontal="right" vertical="bottom"/>
    </xf>
    <xf borderId="1" fillId="11" fontId="8" numFmtId="49" xfId="0" applyAlignment="1" applyBorder="1" applyFont="1" applyNumberFormat="1">
      <alignment horizontal="center" vertical="center"/>
    </xf>
    <xf borderId="5" fillId="9" fontId="18" numFmtId="164" xfId="0" applyAlignment="1" applyBorder="1" applyFont="1" applyNumberFormat="1">
      <alignment horizontal="center" vertical="bottom"/>
    </xf>
    <xf borderId="5" fillId="11" fontId="19" numFmtId="0" xfId="0" applyAlignment="1" applyBorder="1" applyFont="1">
      <alignment horizontal="center" vertical="bottom"/>
    </xf>
    <xf borderId="5" fillId="8" fontId="19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1"/>
    </xf>
    <xf borderId="5" fillId="11" fontId="4" numFmtId="0" xfId="0" applyAlignment="1" applyBorder="1" applyFont="1">
      <alignment vertical="bottom"/>
    </xf>
    <xf borderId="5" fillId="6" fontId="4" numFmtId="0" xfId="0" applyAlignment="1" applyBorder="1" applyFont="1">
      <alignment vertical="bottom"/>
    </xf>
    <xf borderId="5" fillId="14" fontId="17" numFmtId="0" xfId="0" applyAlignment="1" applyBorder="1" applyFont="1">
      <alignment readingOrder="0" shrinkToFit="0" vertical="center" wrapText="1"/>
    </xf>
    <xf borderId="13" fillId="4" fontId="12" numFmtId="0" xfId="0" applyAlignment="1" applyBorder="1" applyFont="1">
      <alignment horizontal="center" vertical="bottom"/>
    </xf>
    <xf borderId="14" fillId="14" fontId="17" numFmtId="0" xfId="0" applyAlignment="1" applyBorder="1" applyFont="1">
      <alignment shrinkToFit="0" vertical="center" wrapText="1"/>
    </xf>
    <xf borderId="14" fillId="8" fontId="4" numFmtId="0" xfId="0" applyAlignment="1" applyBorder="1" applyFont="1">
      <alignment vertical="bottom"/>
    </xf>
    <xf borderId="14" fillId="15" fontId="4" numFmtId="0" xfId="0" applyAlignment="1" applyBorder="1" applyFill="1" applyFont="1">
      <alignment vertical="bottom"/>
    </xf>
    <xf borderId="14" fillId="8" fontId="18" numFmtId="10" xfId="0" applyAlignment="1" applyBorder="1" applyFont="1" applyNumberFormat="1">
      <alignment horizontal="center" vertical="bottom"/>
    </xf>
    <xf borderId="13" fillId="8" fontId="18" numFmtId="2" xfId="0" applyAlignment="1" applyBorder="1" applyFont="1" applyNumberFormat="1">
      <alignment horizontal="right" vertical="bottom"/>
    </xf>
    <xf borderId="14" fillId="9" fontId="20" numFmtId="164" xfId="0" applyAlignment="1" applyBorder="1" applyFont="1" applyNumberFormat="1">
      <alignment horizontal="center" vertical="bottom"/>
    </xf>
    <xf borderId="13" fillId="8" fontId="18" numFmtId="164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vertical="bottom"/>
    </xf>
    <xf borderId="13" fillId="8" fontId="4" numFmtId="2" xfId="0" applyAlignment="1" applyBorder="1" applyFont="1" applyNumberFormat="1">
      <alignment vertical="bottom"/>
    </xf>
    <xf borderId="14" fillId="8" fontId="18" numFmtId="0" xfId="0" applyAlignment="1" applyBorder="1" applyFont="1">
      <alignment vertical="bottom"/>
    </xf>
    <xf borderId="14" fillId="11" fontId="4" numFmtId="164" xfId="0" applyAlignment="1" applyBorder="1" applyFont="1" applyNumberFormat="1">
      <alignment vertical="bottom"/>
    </xf>
    <xf borderId="13" fillId="8" fontId="20" numFmtId="164" xfId="0" applyAlignment="1" applyBorder="1" applyFont="1" applyNumberFormat="1">
      <alignment horizontal="center" vertical="bottom"/>
    </xf>
    <xf borderId="0" fillId="0" fontId="8" numFmtId="49" xfId="0" applyAlignment="1" applyFont="1" applyNumberFormat="1">
      <alignment horizontal="center" readingOrder="0" vertical="center"/>
    </xf>
    <xf borderId="9" fillId="12" fontId="4" numFmtId="0" xfId="0" applyAlignment="1" applyBorder="1" applyFont="1">
      <alignment shrinkToFit="0" vertical="center" wrapText="1"/>
    </xf>
    <xf borderId="9" fillId="12" fontId="4" numFmtId="0" xfId="0" applyAlignment="1" applyBorder="1" applyFont="1">
      <alignment vertical="bottom"/>
    </xf>
    <xf borderId="11" fillId="9" fontId="18" numFmtId="164" xfId="0" applyAlignment="1" applyBorder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/>
    </xf>
    <xf borderId="11" fillId="4" fontId="4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5" fillId="8" fontId="4" numFmtId="10" xfId="0" applyAlignment="1" applyBorder="1" applyFont="1" applyNumberFormat="1">
      <alignment vertical="bottom"/>
    </xf>
    <xf borderId="5" fillId="8" fontId="4" numFmtId="2" xfId="0" applyAlignment="1" applyBorder="1" applyFont="1" applyNumberFormat="1">
      <alignment vertical="bottom"/>
    </xf>
    <xf borderId="5" fillId="11" fontId="11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shrinkToFit="0" vertical="bottom" wrapText="1"/>
    </xf>
    <xf borderId="5" fillId="11" fontId="17" numFmtId="0" xfId="0" applyAlignment="1" applyBorder="1" applyFont="1">
      <alignment shrinkToFit="0" vertical="center" wrapText="1"/>
    </xf>
    <xf borderId="5" fillId="11" fontId="12" numFmtId="0" xfId="0" applyAlignment="1" applyBorder="1" applyFont="1">
      <alignment horizontal="center" vertical="bottom"/>
    </xf>
    <xf borderId="5" fillId="9" fontId="4" numFmtId="164" xfId="0" applyAlignment="1" applyBorder="1" applyFont="1" applyNumberFormat="1">
      <alignment vertical="bottom"/>
    </xf>
    <xf borderId="5" fillId="11" fontId="18" numFmtId="0" xfId="0" applyAlignment="1" applyBorder="1" applyFont="1">
      <alignment vertical="bottom"/>
    </xf>
    <xf borderId="5" fillId="8" fontId="18" numFmtId="2" xfId="0" applyAlignment="1" applyBorder="1" applyFont="1" applyNumberFormat="1">
      <alignment horizontal="center" vertical="bottom"/>
    </xf>
    <xf borderId="0" fillId="0" fontId="6" numFmtId="49" xfId="0" applyFont="1" applyNumberFormat="1"/>
    <xf borderId="5" fillId="14" fontId="4" numFmtId="0" xfId="0" applyAlignment="1" applyBorder="1" applyFont="1">
      <alignment shrinkToFit="0" vertical="center" wrapText="1"/>
    </xf>
    <xf borderId="5" fillId="14" fontId="4" numFmtId="0" xfId="0" applyAlignment="1" applyBorder="1" applyFont="1">
      <alignment vertical="bottom"/>
    </xf>
    <xf borderId="5" fillId="8" fontId="4" numFmtId="164" xfId="0" applyAlignment="1" applyBorder="1" applyFont="1" applyNumberFormat="1">
      <alignment vertical="bottom"/>
    </xf>
    <xf borderId="10" fillId="14" fontId="4" numFmtId="0" xfId="0" applyAlignment="1" applyBorder="1" applyFont="1">
      <alignment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15" fillId="11" fontId="18" numFmtId="0" xfId="0" applyAlignment="1" applyBorder="1" applyFont="1">
      <alignment vertical="bottom"/>
    </xf>
    <xf borderId="5" fillId="4" fontId="22" numFmtId="0" xfId="0" applyAlignment="1" applyBorder="1" applyFont="1">
      <alignment horizontal="center" vertical="bottom"/>
    </xf>
    <xf borderId="9" fillId="11" fontId="18" numFmtId="0" xfId="0" applyAlignment="1" applyBorder="1" applyFont="1">
      <alignment vertical="bottom"/>
    </xf>
    <xf borderId="9" fillId="14" fontId="4" numFmtId="0" xfId="0" applyAlignment="1" applyBorder="1" applyFont="1">
      <alignment vertical="bottom"/>
    </xf>
    <xf borderId="9" fillId="8" fontId="4" numFmtId="10" xfId="0" applyAlignment="1" applyBorder="1" applyFont="1" applyNumberFormat="1">
      <alignment vertical="bottom"/>
    </xf>
    <xf borderId="9" fillId="8" fontId="4" numFmtId="2" xfId="0" applyAlignment="1" applyBorder="1" applyFont="1" applyNumberFormat="1">
      <alignment vertical="bottom"/>
    </xf>
    <xf borderId="9" fillId="9" fontId="4" numFmtId="164" xfId="0" applyAlignment="1" applyBorder="1" applyFont="1" applyNumberFormat="1">
      <alignment vertical="bottom"/>
    </xf>
    <xf borderId="9" fillId="8" fontId="4" numFmtId="164" xfId="0" applyAlignment="1" applyBorder="1" applyFont="1" applyNumberFormat="1">
      <alignment vertical="bottom"/>
    </xf>
    <xf borderId="5" fillId="14" fontId="11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9" fillId="11" fontId="4" numFmtId="0" xfId="0" applyAlignment="1" applyBorder="1" applyFont="1">
      <alignment vertical="bottom"/>
    </xf>
    <xf borderId="9" fillId="14" fontId="11" numFmtId="0" xfId="0" applyAlignment="1" applyBorder="1" applyFont="1">
      <alignment shrinkToFit="0" vertical="center" wrapText="1"/>
    </xf>
    <xf borderId="5" fillId="4" fontId="19" numFmtId="0" xfId="0" applyAlignment="1" applyBorder="1" applyFont="1">
      <alignment horizontal="center" vertical="bottom"/>
    </xf>
    <xf borderId="5" fillId="4" fontId="18" numFmtId="2" xfId="0" applyAlignment="1" applyBorder="1" applyFont="1" applyNumberFormat="1">
      <alignment horizontal="right" vertical="bottom"/>
    </xf>
    <xf borderId="5" fillId="4" fontId="18" numFmtId="164" xfId="0" applyAlignment="1" applyBorder="1" applyFont="1" applyNumberFormat="1">
      <alignment horizontal="center" vertical="bottom"/>
    </xf>
    <xf borderId="9" fillId="14" fontId="4" numFmtId="0" xfId="0" applyAlignment="1" applyBorder="1" applyFont="1">
      <alignment shrinkToFit="0" vertical="center" wrapText="1"/>
    </xf>
    <xf borderId="16" fillId="4" fontId="12" numFmtId="0" xfId="0" applyAlignment="1" applyBorder="1" applyFont="1">
      <alignment horizontal="center" vertical="bottom"/>
    </xf>
    <xf borderId="16" fillId="11" fontId="18" numFmtId="0" xfId="0" applyAlignment="1" applyBorder="1" applyFont="1">
      <alignment horizontal="right" vertical="bottom"/>
    </xf>
    <xf borderId="16" fillId="7" fontId="18" numFmtId="0" xfId="0" applyAlignment="1" applyBorder="1" applyFont="1">
      <alignment horizontal="center" vertical="bottom"/>
    </xf>
    <xf borderId="16" fillId="14" fontId="19" numFmtId="0" xfId="0" applyAlignment="1" applyBorder="1" applyFont="1">
      <alignment horizontal="center" vertical="bottom"/>
    </xf>
    <xf borderId="16" fillId="8" fontId="18" numFmtId="10" xfId="0" applyAlignment="1" applyBorder="1" applyFont="1" applyNumberFormat="1">
      <alignment horizontal="right" vertical="bottom"/>
    </xf>
    <xf borderId="16" fillId="8" fontId="18" numFmtId="2" xfId="0" applyAlignment="1" applyBorder="1" applyFont="1" applyNumberFormat="1">
      <alignment horizontal="right" vertical="bottom"/>
    </xf>
    <xf borderId="16" fillId="9" fontId="18" numFmtId="164" xfId="0" applyAlignment="1" applyBorder="1" applyFont="1" applyNumberFormat="1">
      <alignment horizontal="center" vertical="bottom"/>
    </xf>
    <xf borderId="16" fillId="8" fontId="18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70.14"/>
    <col customWidth="1" min="3" max="3" width="16.43"/>
    <col customWidth="1" min="4" max="5" width="23.0"/>
    <col customWidth="1" min="6" max="7" width="22.29"/>
    <col customWidth="1" min="8" max="8" width="42.71"/>
    <col customWidth="1" min="9" max="27" width="8.71"/>
  </cols>
  <sheetData>
    <row r="1">
      <c r="A1" s="1" t="s">
        <v>0</v>
      </c>
      <c r="B1" s="3" t="s">
        <v>2</v>
      </c>
      <c r="C1" s="5" t="s">
        <v>3</v>
      </c>
      <c r="D1" s="3" t="s">
        <v>4</v>
      </c>
      <c r="E1" s="7" t="s">
        <v>5</v>
      </c>
      <c r="F1" s="7" t="s">
        <v>6</v>
      </c>
      <c r="G1" s="7" t="s">
        <v>7</v>
      </c>
      <c r="H1" s="3" t="s">
        <v>8</v>
      </c>
      <c r="I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2" t="s">
        <v>10</v>
      </c>
      <c r="B2" s="14" t="s">
        <v>12</v>
      </c>
      <c r="C2" s="16" t="s">
        <v>14</v>
      </c>
      <c r="D2" s="18">
        <f t="array" ref="D2">XLOOKUP(B2, Inventario_viejo!A:A, Inventario_viejo!B:B, "No encontrado", 0)</f>
        <v>1</v>
      </c>
      <c r="E2" s="9">
        <v>2.15</v>
      </c>
      <c r="F2" s="20">
        <v>0.4</v>
      </c>
      <c r="G2" s="9">
        <v>6.0</v>
      </c>
      <c r="H2" s="23" t="s">
        <v>21</v>
      </c>
      <c r="I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2" t="s">
        <v>22</v>
      </c>
      <c r="B3" s="14" t="s">
        <v>23</v>
      </c>
      <c r="C3" s="16" t="s">
        <v>14</v>
      </c>
      <c r="D3" s="18">
        <f t="array" ref="D3">XLOOKUP(B3, Inventario_viejo!A:A, Inventario_viejo!B:B, "No encontrado", 0)</f>
        <v>2</v>
      </c>
      <c r="E3" s="9">
        <v>3.8</v>
      </c>
      <c r="F3" s="20">
        <v>0.4</v>
      </c>
      <c r="G3" s="9">
        <v>9.0</v>
      </c>
      <c r="H3" s="23" t="s">
        <v>21</v>
      </c>
      <c r="I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2" t="s">
        <v>24</v>
      </c>
      <c r="B4" s="14" t="s">
        <v>25</v>
      </c>
      <c r="C4" s="16" t="s">
        <v>26</v>
      </c>
      <c r="D4" s="18">
        <v>9.0</v>
      </c>
      <c r="E4" s="9">
        <v>4.8</v>
      </c>
      <c r="F4" s="20">
        <v>0.4</v>
      </c>
      <c r="G4" s="9">
        <v>8.0</v>
      </c>
      <c r="H4" s="29" t="str">
        <f>IFERROR(__xludf.DUMMYFUNCTION("AI(""Introduce un valor adecuado para esta celda según el contexto de la tabla"")"),"Aceite / Transmisión")</f>
        <v>Aceite / Transmisión</v>
      </c>
      <c r="I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30" t="s">
        <v>28</v>
      </c>
      <c r="B5" s="14" t="s">
        <v>29</v>
      </c>
      <c r="C5" s="16" t="s">
        <v>30</v>
      </c>
      <c r="D5" s="18">
        <f t="array" ref="D5">XLOOKUP(B5, Inventario_viejo!A:A, Inventario_viejo!B:B, "No encontrado", 0)</f>
        <v>8</v>
      </c>
      <c r="E5" s="9">
        <v>7.3</v>
      </c>
      <c r="F5" s="20">
        <v>0.4</v>
      </c>
      <c r="G5" s="9">
        <v>9.0</v>
      </c>
      <c r="H5" s="29" t="str">
        <f>IFERROR(__xludf.DUMMYFUNCTION("AI(""Introduce un valor adecuado para esta celda según el contexto de la tabla"")"),"Aceite / Transmisión")</f>
        <v>Aceite / Transmisión</v>
      </c>
      <c r="I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33" t="s">
        <v>32</v>
      </c>
      <c r="B6" s="14" t="s">
        <v>34</v>
      </c>
      <c r="C6" s="34" t="s">
        <v>30</v>
      </c>
      <c r="D6" s="18">
        <v>0.0</v>
      </c>
      <c r="E6" s="9">
        <v>7.3</v>
      </c>
      <c r="F6" s="20">
        <v>0.4</v>
      </c>
      <c r="G6" s="9">
        <v>15.0</v>
      </c>
      <c r="H6" s="29" t="str">
        <f>IFERROR(__xludf.DUMMYFUNCTION("AI(""Introduce un valor adecuado para esta celda según el contexto de la tabla"")"),"Aceite / Transmisión")</f>
        <v>Aceite / Transmisión</v>
      </c>
      <c r="I6" s="9"/>
      <c r="K6" s="10"/>
      <c r="L6" s="10" t="str">
        <f>IFERROR(__xludf.DUMMYFUNCTION("IMPORTRANGE(""https://docs.google.com/spreadsheets/d/1wFcznqessZzenIhUngfAoNWXwGMCTqiG/edit?gid=178502302#gid=178502302"", ""Hoja1!A1"")"),"#REF!")</f>
        <v>#REF!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30" t="s">
        <v>35</v>
      </c>
      <c r="B7" s="14" t="s">
        <v>36</v>
      </c>
      <c r="C7" s="34" t="s">
        <v>37</v>
      </c>
      <c r="D7" s="18">
        <v>4.0</v>
      </c>
      <c r="E7" s="9">
        <v>7.3</v>
      </c>
      <c r="F7" s="20">
        <v>0.4</v>
      </c>
      <c r="G7" s="9">
        <v>12.0</v>
      </c>
      <c r="H7" s="29" t="str">
        <f>IFERROR(__xludf.DUMMYFUNCTION("AI(""Introduce un valor adecuado para esta celda según el contexto de la tabla"")"),"Aceite / Transmisión")</f>
        <v>Aceite / Transmisión</v>
      </c>
      <c r="I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2" t="s">
        <v>39</v>
      </c>
      <c r="B8" s="14" t="s">
        <v>40</v>
      </c>
      <c r="C8" s="34" t="s">
        <v>41</v>
      </c>
      <c r="D8" s="18">
        <v>12.0</v>
      </c>
      <c r="E8" s="9">
        <v>7.3</v>
      </c>
      <c r="F8" s="20">
        <v>0.4</v>
      </c>
      <c r="G8" s="9">
        <v>12.0</v>
      </c>
      <c r="H8" s="29" t="str">
        <f>IFERROR(__xludf.DUMMYFUNCTION("AI(""Introduce un valor adecuado para esta celda según el contexto de la tabla"")"),"Aceite / Transmisión")</f>
        <v>Aceite / Transmisión</v>
      </c>
      <c r="I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2" t="s">
        <v>42</v>
      </c>
      <c r="B9" s="14" t="s">
        <v>43</v>
      </c>
      <c r="C9" s="34" t="s">
        <v>44</v>
      </c>
      <c r="D9" s="18">
        <v>6.0</v>
      </c>
      <c r="E9" s="9"/>
      <c r="F9" s="20"/>
      <c r="G9" s="9">
        <v>12.0</v>
      </c>
      <c r="H9" s="29" t="str">
        <f>IFERROR(__xludf.DUMMYFUNCTION("AI(""Introduce un valor adecuado para esta celda según el contexto de la tabla"")"),"Aceite / Transmisión")</f>
        <v>Aceite / Transmisión</v>
      </c>
      <c r="I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33" t="s">
        <v>32</v>
      </c>
      <c r="B10" s="35" t="s">
        <v>46</v>
      </c>
      <c r="C10" s="34" t="s">
        <v>47</v>
      </c>
      <c r="D10" s="18">
        <v>0.0</v>
      </c>
      <c r="E10" s="9">
        <v>7.3</v>
      </c>
      <c r="F10" s="20">
        <v>0.4</v>
      </c>
      <c r="G10" s="9">
        <v>0.0</v>
      </c>
      <c r="H10" s="29" t="str">
        <f>IFERROR(__xludf.DUMMYFUNCTION("AI(""Introduce un valor adecuado para esta celda según el contexto de la tabla"")"),"Aceite / Transmisión")</f>
        <v>Aceite / Transmisión</v>
      </c>
      <c r="I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2" t="s">
        <v>48</v>
      </c>
      <c r="B11" s="14" t="s">
        <v>49</v>
      </c>
      <c r="C11" s="34" t="s">
        <v>47</v>
      </c>
      <c r="D11" s="18">
        <f t="array" ref="D11">XLOOKUP(B11, Inventario_viejo!A:A, Inventario_viejo!B:B, "No encontrado", 0)</f>
        <v>6</v>
      </c>
      <c r="E11" s="9">
        <v>7.3</v>
      </c>
      <c r="F11" s="20">
        <v>0.4</v>
      </c>
      <c r="G11" s="9">
        <v>20.0</v>
      </c>
      <c r="H11" s="29" t="str">
        <f>IFERROR(__xludf.DUMMYFUNCTION("AI(""Introduce un valor adecuado para esta celda según el contexto de la tabla"")"),"Aceite / Transmisión")</f>
        <v>Aceite / Transmisión</v>
      </c>
      <c r="I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2" t="s">
        <v>51</v>
      </c>
      <c r="B12" s="14" t="s">
        <v>52</v>
      </c>
      <c r="C12" s="34" t="s">
        <v>54</v>
      </c>
      <c r="D12" s="18">
        <f t="array" ref="D12">XLOOKUP(B12, Inventario_viejo!A:A, Inventario_viejo!B:B, "No encontrado", 0)</f>
        <v>6</v>
      </c>
      <c r="E12" s="9">
        <v>7.3</v>
      </c>
      <c r="F12" s="20">
        <v>0.4</v>
      </c>
      <c r="G12" s="9">
        <v>17.0</v>
      </c>
      <c r="H12" s="29" t="str">
        <f>IFERROR(__xludf.DUMMYFUNCTION("AI(""Introduce un valor adecuado para esta celda según el contexto de la tabla"")"),"Aceite / Transmisión")</f>
        <v>Aceite / Transmisión</v>
      </c>
      <c r="I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2" t="s">
        <v>55</v>
      </c>
      <c r="B13" s="14" t="s">
        <v>56</v>
      </c>
      <c r="C13" s="34" t="s">
        <v>57</v>
      </c>
      <c r="D13" s="18">
        <v>9.0</v>
      </c>
      <c r="E13" s="9">
        <v>7.3</v>
      </c>
      <c r="F13" s="20">
        <v>0.4</v>
      </c>
      <c r="G13" s="9">
        <v>17.0</v>
      </c>
      <c r="H13" s="29" t="str">
        <f>IFERROR(__xludf.DUMMYFUNCTION("AI(""Introduce un valor adecuado para esta celda según el contexto de la tabla"")"),"Aceite / Transmisión")</f>
        <v>Aceite / Transmisión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33" t="s">
        <v>32</v>
      </c>
      <c r="B14" s="14" t="s">
        <v>59</v>
      </c>
      <c r="C14" s="34" t="s">
        <v>60</v>
      </c>
      <c r="D14" s="18">
        <v>0.0</v>
      </c>
      <c r="E14" s="37"/>
      <c r="F14" s="20">
        <v>0.4</v>
      </c>
      <c r="G14" s="38">
        <v>10.0</v>
      </c>
      <c r="H14" s="29" t="str">
        <f>IFERROR(__xludf.DUMMYFUNCTION("AI(""Introduce un valor adecuado para esta celda según el contexto de la tabla"")"),"Aceite / Transmisión")</f>
        <v>Aceite / Transmisión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33" t="s">
        <v>32</v>
      </c>
      <c r="B15" s="14" t="s">
        <v>61</v>
      </c>
      <c r="C15" s="34" t="s">
        <v>62</v>
      </c>
      <c r="D15" s="18">
        <v>12.0</v>
      </c>
      <c r="E15" s="37"/>
      <c r="F15" s="20">
        <v>0.4</v>
      </c>
      <c r="G15" s="38">
        <v>10.0</v>
      </c>
      <c r="H15" s="29" t="str">
        <f>IFERROR(__xludf.DUMMYFUNCTION("AI(""Introduce un valor adecuado para esta celda según el contexto de la tabla"")"),"Aceite / Transmisión")</f>
        <v>Aceite / Transmisión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2" t="s">
        <v>64</v>
      </c>
      <c r="B16" s="14" t="s">
        <v>65</v>
      </c>
      <c r="C16" s="34" t="s">
        <v>66</v>
      </c>
      <c r="D16" s="18">
        <v>2.0</v>
      </c>
      <c r="E16" s="37"/>
      <c r="F16" s="20"/>
      <c r="G16" s="38">
        <v>18.0</v>
      </c>
      <c r="H16" s="29" t="str">
        <f>IFERROR(__xludf.DUMMYFUNCTION("AI(""Introduce un valor adecuado para esta celda según el contexto de la tabla"")"),"Aceite / Transmisión")</f>
        <v>Aceite / Transmisión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2" t="s">
        <v>67</v>
      </c>
      <c r="B17" s="14" t="s">
        <v>68</v>
      </c>
      <c r="C17" s="34" t="s">
        <v>44</v>
      </c>
      <c r="D17" s="18">
        <v>5.0</v>
      </c>
      <c r="E17" s="37"/>
      <c r="F17" s="20">
        <v>0.4</v>
      </c>
      <c r="G17" s="38">
        <v>11.0</v>
      </c>
      <c r="H17" s="39" t="s">
        <v>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2" t="s">
        <v>70</v>
      </c>
      <c r="B18" s="14" t="s">
        <v>71</v>
      </c>
      <c r="C18" s="34" t="s">
        <v>72</v>
      </c>
      <c r="D18" s="18">
        <v>8.0</v>
      </c>
      <c r="E18" s="37"/>
      <c r="F18" s="20">
        <v>0.4</v>
      </c>
      <c r="G18" s="38">
        <v>11.0</v>
      </c>
      <c r="H18" s="39" t="s">
        <v>69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2" t="s">
        <v>74</v>
      </c>
      <c r="B19" s="14" t="s">
        <v>75</v>
      </c>
      <c r="C19" s="34" t="s">
        <v>76</v>
      </c>
      <c r="D19" s="18">
        <v>15.0</v>
      </c>
      <c r="E19" s="37"/>
      <c r="F19" s="20">
        <v>0.4</v>
      </c>
      <c r="G19" s="38">
        <v>14.0</v>
      </c>
      <c r="H19" s="39" t="s">
        <v>69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2" t="s">
        <v>77</v>
      </c>
      <c r="B20" s="14" t="s">
        <v>78</v>
      </c>
      <c r="C20" s="34" t="str">
        <f t="shared" ref="C20:C21" si="1">MID(B20,FIND(" ",B20) + 1,FIND(CHAR(160),SUBSTITUTE(B20," ",CHAR(160),2)) - 1 - (FIND(" ",B20)))</f>
        <v>CHRONUS</v>
      </c>
      <c r="D20" s="18">
        <v>5.0</v>
      </c>
      <c r="E20" s="37"/>
      <c r="F20" s="20">
        <v>0.4</v>
      </c>
      <c r="G20" s="38">
        <v>15.0</v>
      </c>
      <c r="H20" s="39" t="s">
        <v>69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2" t="s">
        <v>80</v>
      </c>
      <c r="B21" s="14" t="s">
        <v>81</v>
      </c>
      <c r="C21" s="34" t="str">
        <f t="shared" si="1"/>
        <v>BLUE1</v>
      </c>
      <c r="D21" s="18">
        <v>9.0</v>
      </c>
      <c r="E21" s="37"/>
      <c r="F21" s="20">
        <v>0.4</v>
      </c>
      <c r="G21" s="38">
        <v>15.0</v>
      </c>
      <c r="H21" s="39" t="s">
        <v>69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40" t="s">
        <v>83</v>
      </c>
      <c r="B22" s="14" t="s">
        <v>84</v>
      </c>
      <c r="C22" s="34" t="s">
        <v>85</v>
      </c>
      <c r="D22" s="18">
        <v>3.0</v>
      </c>
      <c r="E22" s="37"/>
      <c r="F22" s="41"/>
      <c r="G22" s="38">
        <v>11.0</v>
      </c>
      <c r="H22" s="39" t="s">
        <v>69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40" t="s">
        <v>86</v>
      </c>
      <c r="B23" s="14" t="s">
        <v>87</v>
      </c>
      <c r="C23" s="34" t="s">
        <v>88</v>
      </c>
      <c r="D23" s="18">
        <v>6.0</v>
      </c>
      <c r="E23" s="37"/>
      <c r="F23" s="41"/>
      <c r="G23" s="38">
        <v>16.0</v>
      </c>
      <c r="H23" s="39" t="s">
        <v>69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40" t="s">
        <v>90</v>
      </c>
      <c r="B24" s="14" t="s">
        <v>91</v>
      </c>
      <c r="C24" s="34" t="s">
        <v>92</v>
      </c>
      <c r="D24" s="18">
        <v>2.0</v>
      </c>
      <c r="E24" s="37"/>
      <c r="F24" s="41"/>
      <c r="G24" s="38">
        <v>11.0</v>
      </c>
      <c r="H24" s="29" t="str">
        <f>IFERROR(__xludf.DUMMYFUNCTION("AI(""Introduce un valor adecuado para esta celda según el contexto de la tabla"")"),"Aceite / Transmisión")</f>
        <v>Aceite / Transmisión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40" t="s">
        <v>93</v>
      </c>
      <c r="B25" s="14" t="s">
        <v>94</v>
      </c>
      <c r="C25" s="34" t="s">
        <v>95</v>
      </c>
      <c r="D25" s="18">
        <v>8.0</v>
      </c>
      <c r="E25" s="37"/>
      <c r="F25" s="41"/>
      <c r="G25" s="38">
        <v>16.0</v>
      </c>
      <c r="H25" s="39" t="s">
        <v>69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3.5" customHeight="1">
      <c r="A26" s="42"/>
      <c r="B26" s="43"/>
      <c r="C26" s="43"/>
      <c r="D26" s="43"/>
      <c r="E26" s="43"/>
      <c r="F26" s="43"/>
      <c r="G26" s="43"/>
      <c r="H26" s="4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44" t="s">
        <v>97</v>
      </c>
      <c r="B27" s="43"/>
      <c r="C27" s="43"/>
      <c r="D27" s="43"/>
      <c r="E27" s="43"/>
      <c r="F27" s="43"/>
      <c r="G27" s="43"/>
      <c r="H27" s="45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33" t="s">
        <v>32</v>
      </c>
      <c r="B28" s="14" t="s">
        <v>99</v>
      </c>
      <c r="C28" s="34" t="str">
        <f t="shared" ref="C28:C29" si="2">MID(B28,FIND(" ",B28) + 1,FIND(CHAR(160),SUBSTITUTE(B28," ",CHAR(160),2)) - 1 - (FIND(" ",B28)))</f>
        <v>FC</v>
      </c>
      <c r="D28" s="18">
        <v>0.0</v>
      </c>
      <c r="E28" s="10"/>
      <c r="F28" s="20">
        <v>0.4</v>
      </c>
      <c r="G28" s="9">
        <v>10.0</v>
      </c>
      <c r="H28" s="39" t="s">
        <v>100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2" t="s">
        <v>102</v>
      </c>
      <c r="B29" s="14" t="s">
        <v>103</v>
      </c>
      <c r="C29" s="34" t="str">
        <f t="shared" si="2"/>
        <v>OILSTONE</v>
      </c>
      <c r="D29" s="18">
        <v>8.0</v>
      </c>
      <c r="E29" s="10"/>
      <c r="F29" s="20">
        <v>0.4</v>
      </c>
      <c r="G29" s="9">
        <v>12.0</v>
      </c>
      <c r="H29" s="39" t="s">
        <v>100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2" t="s">
        <v>104</v>
      </c>
      <c r="B30" s="14" t="s">
        <v>105</v>
      </c>
      <c r="C30" s="34" t="s">
        <v>106</v>
      </c>
      <c r="D30" s="18">
        <v>6.0</v>
      </c>
      <c r="E30" s="10"/>
      <c r="F30" s="20">
        <v>0.4</v>
      </c>
      <c r="G30" s="9">
        <v>15.0</v>
      </c>
      <c r="H30" s="39" t="s">
        <v>100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2" t="s">
        <v>108</v>
      </c>
      <c r="B31" s="14" t="s">
        <v>109</v>
      </c>
      <c r="C31" s="34" t="s">
        <v>95</v>
      </c>
      <c r="D31" s="18">
        <v>6.0</v>
      </c>
      <c r="E31" s="10"/>
      <c r="F31" s="20">
        <v>0.4</v>
      </c>
      <c r="G31" s="9">
        <v>16.0</v>
      </c>
      <c r="H31" s="39" t="s">
        <v>100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2" t="s">
        <v>111</v>
      </c>
      <c r="B32" s="14" t="s">
        <v>112</v>
      </c>
      <c r="C32" s="34" t="s">
        <v>95</v>
      </c>
      <c r="D32" s="18">
        <v>3.0</v>
      </c>
      <c r="E32" s="10"/>
      <c r="F32" s="20">
        <v>0.4</v>
      </c>
      <c r="G32" s="9">
        <v>16.0</v>
      </c>
      <c r="H32" s="39" t="s">
        <v>100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2" t="s">
        <v>113</v>
      </c>
      <c r="B33" s="14" t="s">
        <v>114</v>
      </c>
      <c r="C33" s="34" t="str">
        <f t="shared" ref="C33:C39" si="3">MID(B33,FIND(" ",B33) + 1,FIND(CHAR(160),SUBSTITUTE(B33," ",CHAR(160),2)) - 1 - (FIND(" ",B33)))</f>
        <v>ROSHFRANS</v>
      </c>
      <c r="D33" s="18">
        <v>2.0</v>
      </c>
      <c r="E33" s="10"/>
      <c r="F33" s="20">
        <v>0.4</v>
      </c>
      <c r="G33" s="9">
        <v>14.0</v>
      </c>
      <c r="H33" s="39" t="s">
        <v>100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33" t="s">
        <v>32</v>
      </c>
      <c r="B34" s="14" t="s">
        <v>116</v>
      </c>
      <c r="C34" s="34" t="str">
        <f t="shared" si="3"/>
        <v>ROSHFRANS</v>
      </c>
      <c r="D34" s="18">
        <v>0.0</v>
      </c>
      <c r="E34" s="10"/>
      <c r="F34" s="20">
        <v>0.4</v>
      </c>
      <c r="G34" s="9">
        <v>16.0</v>
      </c>
      <c r="H34" s="39" t="s">
        <v>100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2" t="s">
        <v>118</v>
      </c>
      <c r="B35" s="14" t="s">
        <v>119</v>
      </c>
      <c r="C35" s="34" t="str">
        <f t="shared" si="3"/>
        <v>ROSHFRANS</v>
      </c>
      <c r="D35" s="18">
        <f t="array" ref="D35">XLOOKUP(B35, Inventario_viejo!A:A, Inventario_viejo!B:B, "No encontrado",1,1)</f>
        <v>26</v>
      </c>
      <c r="E35" s="10"/>
      <c r="F35" s="20">
        <v>0.4</v>
      </c>
      <c r="G35" s="9">
        <v>18.0</v>
      </c>
      <c r="H35" s="39" t="s">
        <v>100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33" t="s">
        <v>32</v>
      </c>
      <c r="B36" s="14" t="s">
        <v>121</v>
      </c>
      <c r="C36" s="34" t="str">
        <f t="shared" si="3"/>
        <v>MOTUL</v>
      </c>
      <c r="D36" s="18">
        <v>0.0</v>
      </c>
      <c r="E36" s="10"/>
      <c r="F36" s="20">
        <v>0.4</v>
      </c>
      <c r="G36" s="9">
        <v>18.0</v>
      </c>
      <c r="H36" s="39" t="s">
        <v>100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2" t="s">
        <v>122</v>
      </c>
      <c r="B37" s="14" t="s">
        <v>123</v>
      </c>
      <c r="C37" s="34" t="str">
        <f t="shared" si="3"/>
        <v>MOTUL</v>
      </c>
      <c r="D37" s="18">
        <v>2.0</v>
      </c>
      <c r="E37" s="10"/>
      <c r="F37" s="20"/>
      <c r="G37" s="9">
        <v>23.0</v>
      </c>
      <c r="H37" s="39" t="s">
        <v>100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2" t="s">
        <v>125</v>
      </c>
      <c r="B38" s="14" t="s">
        <v>126</v>
      </c>
      <c r="C38" s="34" t="str">
        <f t="shared" si="3"/>
        <v>IPONE</v>
      </c>
      <c r="D38" s="18">
        <v>5.0</v>
      </c>
      <c r="E38" s="10"/>
      <c r="F38" s="20"/>
      <c r="G38" s="9">
        <v>20.0</v>
      </c>
      <c r="H38" s="39" t="s">
        <v>100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2" t="s">
        <v>127</v>
      </c>
      <c r="B39" s="14" t="s">
        <v>128</v>
      </c>
      <c r="C39" s="34" t="str">
        <f t="shared" si="3"/>
        <v>IPONE</v>
      </c>
      <c r="D39" s="18">
        <v>5.0</v>
      </c>
      <c r="E39" s="10"/>
      <c r="F39" s="20">
        <v>0.4</v>
      </c>
      <c r="G39" s="9">
        <v>20.0</v>
      </c>
      <c r="H39" s="39" t="s">
        <v>100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2" t="s">
        <v>129</v>
      </c>
      <c r="B40" s="14" t="s">
        <v>130</v>
      </c>
      <c r="C40" s="34" t="s">
        <v>131</v>
      </c>
      <c r="D40" s="18">
        <v>4.0</v>
      </c>
      <c r="E40" s="10"/>
      <c r="F40" s="20"/>
      <c r="G40" s="9">
        <v>18.0</v>
      </c>
      <c r="H40" s="39" t="s">
        <v>100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2" t="s">
        <v>133</v>
      </c>
      <c r="B41" s="14" t="s">
        <v>134</v>
      </c>
      <c r="C41" s="34" t="str">
        <f>MID(B42,FIND(" ",B42) + 1,FIND(CHAR(160),SUBSTITUTE(B42," ",CHAR(160),2)) - 1 - (FIND(" ",B42)))</f>
        <v>BLUE1</v>
      </c>
      <c r="D41" s="18">
        <f t="array" ref="D41">XLOOKUP(B41, Inventario_viejo!A:A, Inventario_viejo!B:B, "No encontrado",1,1)</f>
        <v>12</v>
      </c>
      <c r="E41" s="10"/>
      <c r="F41" s="20">
        <v>0.3</v>
      </c>
      <c r="G41" s="38">
        <v>15.0</v>
      </c>
      <c r="H41" s="34" t="s">
        <v>136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2" t="s">
        <v>137</v>
      </c>
      <c r="B42" s="14" t="s">
        <v>138</v>
      </c>
      <c r="C42" s="34" t="str">
        <f t="shared" ref="C42:C139" si="4">MID(B42,FIND(" ",B42) + 1,FIND(CHAR(160),SUBSTITUTE(B42," ",CHAR(160),2)) - 1 - (FIND(" ",B42)))</f>
        <v>BLUE1</v>
      </c>
      <c r="D42" s="18">
        <v>2.0</v>
      </c>
      <c r="E42" s="10"/>
      <c r="F42" s="20">
        <v>0.3</v>
      </c>
      <c r="G42" s="38">
        <v>15.0</v>
      </c>
      <c r="H42" s="34" t="s">
        <v>136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2" t="s">
        <v>140</v>
      </c>
      <c r="B43" s="14" t="s">
        <v>141</v>
      </c>
      <c r="C43" s="34" t="str">
        <f t="shared" si="4"/>
        <v>BLUE1</v>
      </c>
      <c r="D43" s="18">
        <v>5.0</v>
      </c>
      <c r="E43" s="10"/>
      <c r="F43" s="20">
        <v>0.3</v>
      </c>
      <c r="G43" s="38">
        <v>15.0</v>
      </c>
      <c r="H43" s="34" t="s">
        <v>136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2" t="s">
        <v>142</v>
      </c>
      <c r="B44" s="14" t="s">
        <v>144</v>
      </c>
      <c r="C44" s="34" t="str">
        <f t="shared" si="4"/>
        <v>BLUE1</v>
      </c>
      <c r="D44" s="18">
        <f t="array" ref="D44">XLOOKUP(B44, Inventario_viejo!A:A, Inventario_viejo!B:B, "No encontrado",1,1)</f>
        <v>1</v>
      </c>
      <c r="E44" s="10"/>
      <c r="F44" s="20">
        <v>0.3</v>
      </c>
      <c r="G44" s="38">
        <v>15.0</v>
      </c>
      <c r="H44" s="34" t="s">
        <v>136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2" t="s">
        <v>146</v>
      </c>
      <c r="B45" s="14" t="s">
        <v>147</v>
      </c>
      <c r="C45" s="34" t="str">
        <f t="shared" si="4"/>
        <v>BLUE1</v>
      </c>
      <c r="D45" s="18">
        <f t="array" ref="D45">XLOOKUP(B45, Inventario_viejo!A:A, Inventario_viejo!B:B, "No encontrado",1,1)</f>
        <v>12</v>
      </c>
      <c r="E45" s="10"/>
      <c r="F45" s="20">
        <v>0.3</v>
      </c>
      <c r="G45" s="38">
        <v>15.0</v>
      </c>
      <c r="H45" s="34" t="s">
        <v>136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2" t="s">
        <v>149</v>
      </c>
      <c r="B46" s="14" t="s">
        <v>150</v>
      </c>
      <c r="C46" s="34" t="str">
        <f t="shared" si="4"/>
        <v>BLUE1</v>
      </c>
      <c r="D46" s="18">
        <v>0.0</v>
      </c>
      <c r="E46" s="10"/>
      <c r="F46" s="20">
        <v>0.3</v>
      </c>
      <c r="G46" s="38">
        <v>15.0</v>
      </c>
      <c r="H46" s="34" t="s">
        <v>136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33" t="s">
        <v>32</v>
      </c>
      <c r="B47" s="14" t="s">
        <v>151</v>
      </c>
      <c r="C47" s="16" t="str">
        <f t="shared" si="4"/>
        <v>CHRONUS</v>
      </c>
      <c r="D47" s="18">
        <v>0.0</v>
      </c>
      <c r="E47" s="10"/>
      <c r="F47" s="20">
        <v>0.3</v>
      </c>
      <c r="G47" s="38">
        <v>15.0</v>
      </c>
      <c r="H47" s="34" t="s">
        <v>136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33" t="s">
        <v>32</v>
      </c>
      <c r="B48" s="14" t="s">
        <v>153</v>
      </c>
      <c r="C48" s="16" t="str">
        <f t="shared" si="4"/>
        <v>CHRONUS</v>
      </c>
      <c r="D48" s="18">
        <v>0.0</v>
      </c>
      <c r="E48" s="10"/>
      <c r="F48" s="20">
        <v>0.3</v>
      </c>
      <c r="G48" s="38">
        <v>14.0</v>
      </c>
      <c r="H48" s="34" t="s">
        <v>136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2" t="s">
        <v>154</v>
      </c>
      <c r="B49" s="14" t="s">
        <v>155</v>
      </c>
      <c r="C49" s="16" t="str">
        <f t="shared" si="4"/>
        <v>CHRONUS</v>
      </c>
      <c r="D49" s="18">
        <v>4.0</v>
      </c>
      <c r="E49" s="10"/>
      <c r="F49" s="20">
        <v>0.3</v>
      </c>
      <c r="G49" s="38">
        <v>15.0</v>
      </c>
      <c r="H49" s="34" t="s">
        <v>136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2" t="s">
        <v>157</v>
      </c>
      <c r="B50" s="14" t="s">
        <v>158</v>
      </c>
      <c r="C50" s="34" t="str">
        <f t="shared" si="4"/>
        <v>DAUER</v>
      </c>
      <c r="D50" s="18">
        <v>10.0</v>
      </c>
      <c r="E50" s="10"/>
      <c r="F50" s="20">
        <v>0.3</v>
      </c>
      <c r="G50" s="38">
        <v>15.0</v>
      </c>
      <c r="H50" s="34" t="s">
        <v>136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2" t="s">
        <v>159</v>
      </c>
      <c r="B51" s="14" t="s">
        <v>160</v>
      </c>
      <c r="C51" s="34" t="str">
        <f t="shared" si="4"/>
        <v>DAUER</v>
      </c>
      <c r="D51" s="18">
        <v>11.0</v>
      </c>
      <c r="E51" s="10"/>
      <c r="F51" s="20">
        <v>0.3</v>
      </c>
      <c r="G51" s="38">
        <v>15.0</v>
      </c>
      <c r="H51" s="34" t="s">
        <v>136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33" t="s">
        <v>32</v>
      </c>
      <c r="B52" s="14" t="s">
        <v>161</v>
      </c>
      <c r="C52" s="34" t="str">
        <f t="shared" si="4"/>
        <v>DAUER</v>
      </c>
      <c r="D52" s="18">
        <v>0.0</v>
      </c>
      <c r="E52" s="10"/>
      <c r="F52" s="20">
        <v>0.3</v>
      </c>
      <c r="G52" s="38">
        <v>15.0</v>
      </c>
      <c r="H52" s="34" t="s">
        <v>136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2" t="s">
        <v>162</v>
      </c>
      <c r="B53" s="14" t="s">
        <v>163</v>
      </c>
      <c r="C53" s="48" t="str">
        <f t="shared" si="4"/>
        <v>FANFARO</v>
      </c>
      <c r="D53" s="18">
        <v>10.0</v>
      </c>
      <c r="E53" s="10"/>
      <c r="F53" s="20">
        <v>0.5</v>
      </c>
      <c r="G53" s="38">
        <v>11.0</v>
      </c>
      <c r="H53" s="34" t="s">
        <v>136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2" t="s">
        <v>164</v>
      </c>
      <c r="B54" s="14" t="s">
        <v>165</v>
      </c>
      <c r="C54" s="48" t="str">
        <f t="shared" si="4"/>
        <v>FC</v>
      </c>
      <c r="D54" s="18">
        <f t="array" ref="D54">XLOOKUP(B54, Inventario_viejo!A:A, Inventario_viejo!B:B, "No encontrado",1,1)</f>
        <v>1</v>
      </c>
      <c r="E54" s="10"/>
      <c r="F54" s="20">
        <v>0.5</v>
      </c>
      <c r="G54" s="38">
        <v>11.0</v>
      </c>
      <c r="H54" s="34" t="s">
        <v>136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2" t="s">
        <v>166</v>
      </c>
      <c r="B55" s="14" t="s">
        <v>167</v>
      </c>
      <c r="C55" s="48" t="str">
        <f t="shared" si="4"/>
        <v>GONHER</v>
      </c>
      <c r="D55" s="18">
        <f t="array" ref="D55">XLOOKUP(B55, Inventario_viejo!A:A, Inventario_viejo!B:B, "No encontrado",1,1)</f>
        <v>8</v>
      </c>
      <c r="E55" s="10"/>
      <c r="F55" s="20">
        <v>0.3</v>
      </c>
      <c r="G55" s="38">
        <v>13.0</v>
      </c>
      <c r="H55" s="34" t="s">
        <v>136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2" t="s">
        <v>168</v>
      </c>
      <c r="B56" s="14" t="s">
        <v>169</v>
      </c>
      <c r="C56" s="48" t="str">
        <f t="shared" si="4"/>
        <v>GONHER</v>
      </c>
      <c r="D56" s="18">
        <v>14.0</v>
      </c>
      <c r="E56" s="10"/>
      <c r="F56" s="20">
        <v>0.3</v>
      </c>
      <c r="G56" s="38">
        <v>14.0</v>
      </c>
      <c r="H56" s="34" t="s">
        <v>136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2" t="s">
        <v>171</v>
      </c>
      <c r="B57" s="14" t="s">
        <v>172</v>
      </c>
      <c r="C57" s="48" t="str">
        <f t="shared" si="4"/>
        <v>GULF</v>
      </c>
      <c r="D57" s="18">
        <f t="array" ref="D57">XLOOKUP(B57, Inventario_viejo!A:A, Inventario_viejo!B:B, "No encontrado",1,1)</f>
        <v>9</v>
      </c>
      <c r="E57" s="10"/>
      <c r="F57" s="20">
        <v>0.3</v>
      </c>
      <c r="G57" s="38">
        <v>15.0</v>
      </c>
      <c r="H57" s="34" t="s">
        <v>136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2" t="s">
        <v>173</v>
      </c>
      <c r="B58" s="14" t="s">
        <v>174</v>
      </c>
      <c r="C58" s="48" t="str">
        <f t="shared" si="4"/>
        <v>GULF</v>
      </c>
      <c r="D58" s="18">
        <f t="array" ref="D58">XLOOKUP(B58, Inventario_viejo!A:A, Inventario_viejo!B:B, "No encontrado",1,1)</f>
        <v>11</v>
      </c>
      <c r="E58" s="10"/>
      <c r="F58" s="20">
        <v>0.3</v>
      </c>
      <c r="G58" s="38">
        <v>15.0</v>
      </c>
      <c r="H58" s="34" t="s">
        <v>136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33" t="s">
        <v>32</v>
      </c>
      <c r="B59" s="14" t="s">
        <v>175</v>
      </c>
      <c r="C59" s="48" t="str">
        <f t="shared" si="4"/>
        <v>HIBRYD</v>
      </c>
      <c r="D59" s="18">
        <f t="array" ref="D59">XLOOKUP(B59, Inventario_viejo!A:A, Inventario_viejo!B:B, "No encontrado",1,1)</f>
        <v>2</v>
      </c>
      <c r="E59" s="10"/>
      <c r="F59" s="20">
        <v>0.3</v>
      </c>
      <c r="G59" s="38">
        <v>13.0</v>
      </c>
      <c r="H59" s="34" t="s">
        <v>136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33" t="s">
        <v>32</v>
      </c>
      <c r="B60" s="14" t="s">
        <v>177</v>
      </c>
      <c r="C60" s="48" t="str">
        <f t="shared" si="4"/>
        <v>HIBRYD</v>
      </c>
      <c r="D60" s="18">
        <v>8.0</v>
      </c>
      <c r="E60" s="10"/>
      <c r="F60" s="20"/>
      <c r="G60" s="38">
        <v>11.0</v>
      </c>
      <c r="H60" s="34" t="s">
        <v>136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2" t="s">
        <v>178</v>
      </c>
      <c r="B61" s="14" t="s">
        <v>179</v>
      </c>
      <c r="C61" s="48" t="str">
        <f t="shared" si="4"/>
        <v>INCA</v>
      </c>
      <c r="D61" s="18">
        <v>6.0</v>
      </c>
      <c r="E61" s="10"/>
      <c r="F61" s="20">
        <v>0.3</v>
      </c>
      <c r="G61" s="38">
        <v>14.0</v>
      </c>
      <c r="H61" s="34" t="s">
        <v>136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2" t="s">
        <v>180</v>
      </c>
      <c r="B62" s="14" t="s">
        <v>181</v>
      </c>
      <c r="C62" s="48" t="str">
        <f t="shared" si="4"/>
        <v>INCA</v>
      </c>
      <c r="D62" s="18">
        <v>3.0</v>
      </c>
      <c r="E62" s="10"/>
      <c r="F62" s="20"/>
      <c r="G62" s="38">
        <v>14.0</v>
      </c>
      <c r="H62" s="34" t="s">
        <v>136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2" t="s">
        <v>182</v>
      </c>
      <c r="B63" s="14" t="s">
        <v>183</v>
      </c>
      <c r="C63" s="48" t="str">
        <f t="shared" si="4"/>
        <v>INCA</v>
      </c>
      <c r="D63" s="18">
        <v>7.0</v>
      </c>
      <c r="E63" s="10"/>
      <c r="F63" s="20">
        <v>0.3</v>
      </c>
      <c r="G63" s="38">
        <v>15.0</v>
      </c>
      <c r="H63" s="34" t="s">
        <v>136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2" t="s">
        <v>185</v>
      </c>
      <c r="B64" s="14" t="s">
        <v>186</v>
      </c>
      <c r="C64" s="48" t="str">
        <f t="shared" si="4"/>
        <v>INCA</v>
      </c>
      <c r="D64" s="18">
        <v>3.0</v>
      </c>
      <c r="E64" s="10"/>
      <c r="F64" s="20">
        <v>0.3</v>
      </c>
      <c r="G64" s="38">
        <v>15.0</v>
      </c>
      <c r="H64" s="34" t="s">
        <v>136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2" t="s">
        <v>187</v>
      </c>
      <c r="B65" s="14" t="s">
        <v>188</v>
      </c>
      <c r="C65" s="48" t="str">
        <f t="shared" si="4"/>
        <v>INCA</v>
      </c>
      <c r="D65" s="18">
        <v>7.0</v>
      </c>
      <c r="E65" s="10"/>
      <c r="F65" s="20"/>
      <c r="G65" s="38">
        <v>15.0</v>
      </c>
      <c r="H65" s="34" t="s">
        <v>136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2" t="s">
        <v>190</v>
      </c>
      <c r="B66" s="14" t="s">
        <v>191</v>
      </c>
      <c r="C66" s="48" t="str">
        <f t="shared" si="4"/>
        <v>INGRALUB</v>
      </c>
      <c r="D66" s="18">
        <v>10.0</v>
      </c>
      <c r="E66" s="10"/>
      <c r="F66" s="20">
        <v>0.3</v>
      </c>
      <c r="G66" s="38">
        <v>11.0</v>
      </c>
      <c r="H66" s="34" t="s">
        <v>136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2" t="s">
        <v>192</v>
      </c>
      <c r="B67" s="14" t="s">
        <v>193</v>
      </c>
      <c r="C67" s="48" t="str">
        <f t="shared" si="4"/>
        <v>INGRALUB</v>
      </c>
      <c r="D67" s="18">
        <v>10.0</v>
      </c>
      <c r="E67" s="10"/>
      <c r="F67" s="20">
        <v>0.3</v>
      </c>
      <c r="G67" s="38">
        <v>12.0</v>
      </c>
      <c r="H67" s="34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2" t="s">
        <v>195</v>
      </c>
      <c r="B68" s="14" t="s">
        <v>196</v>
      </c>
      <c r="C68" s="48" t="str">
        <f t="shared" si="4"/>
        <v>KRS</v>
      </c>
      <c r="D68" s="18">
        <v>11.0</v>
      </c>
      <c r="E68" s="10"/>
      <c r="F68" s="20">
        <v>0.3</v>
      </c>
      <c r="G68" s="38">
        <v>12.0</v>
      </c>
      <c r="H68" s="34" t="s">
        <v>136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2" t="s">
        <v>197</v>
      </c>
      <c r="B69" s="14" t="s">
        <v>198</v>
      </c>
      <c r="C69" s="48" t="str">
        <f t="shared" si="4"/>
        <v>KRS</v>
      </c>
      <c r="D69" s="18">
        <v>10.0</v>
      </c>
      <c r="E69" s="10"/>
      <c r="F69" s="20">
        <v>0.3</v>
      </c>
      <c r="G69" s="38">
        <v>12.0</v>
      </c>
      <c r="H69" s="34" t="s">
        <v>136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2" t="s">
        <v>200</v>
      </c>
      <c r="B70" s="14" t="s">
        <v>201</v>
      </c>
      <c r="C70" s="48" t="str">
        <f t="shared" si="4"/>
        <v>KRS</v>
      </c>
      <c r="D70" s="18">
        <v>18.0</v>
      </c>
      <c r="E70" s="10"/>
      <c r="F70" s="20">
        <v>0.3</v>
      </c>
      <c r="G70" s="38">
        <v>13.0</v>
      </c>
      <c r="H70" s="34" t="s">
        <v>136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2" t="s">
        <v>202</v>
      </c>
      <c r="B71" s="14" t="s">
        <v>203</v>
      </c>
      <c r="C71" s="48" t="str">
        <f t="shared" si="4"/>
        <v>KRS</v>
      </c>
      <c r="D71" s="18">
        <v>12.0</v>
      </c>
      <c r="E71" s="10"/>
      <c r="F71" s="20">
        <v>0.3</v>
      </c>
      <c r="G71" s="38">
        <v>13.0</v>
      </c>
      <c r="H71" s="34" t="s">
        <v>136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33" t="s">
        <v>32</v>
      </c>
      <c r="B72" s="14" t="s">
        <v>205</v>
      </c>
      <c r="C72" s="48" t="str">
        <f t="shared" si="4"/>
        <v>LMV</v>
      </c>
      <c r="D72" s="18">
        <v>0.0</v>
      </c>
      <c r="E72" s="10"/>
      <c r="F72" s="20">
        <v>0.3</v>
      </c>
      <c r="G72" s="38">
        <v>11.0</v>
      </c>
      <c r="H72" s="34" t="s">
        <v>136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2" t="s">
        <v>206</v>
      </c>
      <c r="B73" s="14" t="s">
        <v>207</v>
      </c>
      <c r="C73" s="48" t="str">
        <f t="shared" si="4"/>
        <v>LMV</v>
      </c>
      <c r="D73" s="18">
        <f t="array" ref="D73">XLOOKUP(B73, Inventario_viejo!A:A, Inventario_viejo!B:B, "No encontrado",1,1)</f>
        <v>6</v>
      </c>
      <c r="E73" s="10"/>
      <c r="F73" s="20">
        <v>0.3</v>
      </c>
      <c r="G73" s="38">
        <v>11.0</v>
      </c>
      <c r="H73" s="34" t="s">
        <v>136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33" t="s">
        <v>32</v>
      </c>
      <c r="B74" s="14" t="s">
        <v>209</v>
      </c>
      <c r="C74" s="48" t="str">
        <f t="shared" si="4"/>
        <v>LMV</v>
      </c>
      <c r="D74" s="18">
        <v>0.0</v>
      </c>
      <c r="E74" s="10"/>
      <c r="F74" s="20">
        <v>0.3</v>
      </c>
      <c r="G74" s="38">
        <v>11.0</v>
      </c>
      <c r="H74" s="34" t="s">
        <v>136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2" t="s">
        <v>210</v>
      </c>
      <c r="B75" s="14" t="s">
        <v>211</v>
      </c>
      <c r="C75" s="48" t="str">
        <f t="shared" si="4"/>
        <v>LUBREX</v>
      </c>
      <c r="D75" s="18">
        <f t="array" ref="D75">XLOOKUP(B75, Inventario_viejo!A:A, Inventario_viejo!B:B, "No encontrado",1,1)</f>
        <v>11</v>
      </c>
      <c r="E75" s="10"/>
      <c r="F75" s="20">
        <v>0.3</v>
      </c>
      <c r="G75" s="38">
        <v>11.0</v>
      </c>
      <c r="H75" s="34" t="s">
        <v>136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2" t="s">
        <v>213</v>
      </c>
      <c r="B76" s="14" t="s">
        <v>214</v>
      </c>
      <c r="C76" s="48" t="str">
        <f t="shared" si="4"/>
        <v>LUBREX</v>
      </c>
      <c r="D76" s="18">
        <f t="array" ref="D76">XLOOKUP(B76, Inventario_viejo!A:A, Inventario_viejo!B:B, "No encontrado",1,1)</f>
        <v>12</v>
      </c>
      <c r="E76" s="10"/>
      <c r="F76" s="20">
        <v>0.3</v>
      </c>
      <c r="G76" s="38">
        <v>12.0</v>
      </c>
      <c r="H76" s="34" t="s">
        <v>136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33" t="s">
        <v>32</v>
      </c>
      <c r="B77" s="14" t="s">
        <v>216</v>
      </c>
      <c r="C77" s="48" t="str">
        <f t="shared" si="4"/>
        <v>LUBREX</v>
      </c>
      <c r="D77" s="18">
        <v>0.0</v>
      </c>
      <c r="E77" s="10"/>
      <c r="F77" s="20">
        <v>0.0</v>
      </c>
      <c r="G77" s="38">
        <v>0.0</v>
      </c>
      <c r="H77" s="34" t="s">
        <v>136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2" t="s">
        <v>217</v>
      </c>
      <c r="B78" s="14" t="s">
        <v>218</v>
      </c>
      <c r="C78" s="48" t="str">
        <f t="shared" si="4"/>
        <v>LUBRIKON</v>
      </c>
      <c r="D78" s="18">
        <v>4.0</v>
      </c>
      <c r="E78" s="10"/>
      <c r="F78" s="20">
        <v>0.5</v>
      </c>
      <c r="G78" s="38">
        <v>11.0</v>
      </c>
      <c r="H78" s="34" t="s">
        <v>136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2" t="s">
        <v>219</v>
      </c>
      <c r="B79" s="14" t="s">
        <v>220</v>
      </c>
      <c r="C79" s="48" t="str">
        <f t="shared" si="4"/>
        <v>MOBIL</v>
      </c>
      <c r="D79" s="18">
        <v>1.0</v>
      </c>
      <c r="E79" s="10"/>
      <c r="F79" s="20">
        <v>0.3</v>
      </c>
      <c r="G79" s="38">
        <v>14.0</v>
      </c>
      <c r="H79" s="34" t="s">
        <v>136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2" t="s">
        <v>221</v>
      </c>
      <c r="B80" s="14" t="s">
        <v>222</v>
      </c>
      <c r="C80" s="48" t="str">
        <f t="shared" si="4"/>
        <v>MOBIL</v>
      </c>
      <c r="D80" s="18">
        <v>11.0</v>
      </c>
      <c r="E80" s="10"/>
      <c r="F80" s="20">
        <v>0.3</v>
      </c>
      <c r="G80" s="38">
        <v>15.0</v>
      </c>
      <c r="H80" s="34" t="s">
        <v>136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2" t="s">
        <v>223</v>
      </c>
      <c r="B81" s="14" t="s">
        <v>224</v>
      </c>
      <c r="C81" s="48" t="str">
        <f t="shared" si="4"/>
        <v>MOBIL</v>
      </c>
      <c r="D81" s="18">
        <v>11.0</v>
      </c>
      <c r="E81" s="10"/>
      <c r="F81" s="20">
        <v>0.3</v>
      </c>
      <c r="G81" s="38">
        <v>15.0</v>
      </c>
      <c r="H81" s="34" t="s">
        <v>136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2" t="s">
        <v>225</v>
      </c>
      <c r="B82" s="14" t="s">
        <v>226</v>
      </c>
      <c r="C82" s="48" t="str">
        <f t="shared" si="4"/>
        <v>MOBIL</v>
      </c>
      <c r="D82" s="18">
        <v>6.0</v>
      </c>
      <c r="E82" s="10"/>
      <c r="F82" s="20">
        <v>0.3</v>
      </c>
      <c r="G82" s="38">
        <v>15.0</v>
      </c>
      <c r="H82" s="34" t="s">
        <v>136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30" t="s">
        <v>228</v>
      </c>
      <c r="B83" s="14" t="s">
        <v>229</v>
      </c>
      <c r="C83" s="48" t="str">
        <f t="shared" si="4"/>
        <v>MOTORCRAFT</v>
      </c>
      <c r="D83" s="18">
        <v>12.0</v>
      </c>
      <c r="E83" s="10"/>
      <c r="F83" s="20">
        <v>0.3</v>
      </c>
      <c r="G83" s="38">
        <v>15.0</v>
      </c>
      <c r="H83" s="34" t="s">
        <v>136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30" t="s">
        <v>230</v>
      </c>
      <c r="B84" s="14" t="s">
        <v>232</v>
      </c>
      <c r="C84" s="48" t="str">
        <f t="shared" si="4"/>
        <v>MOTORCRAFT</v>
      </c>
      <c r="D84" s="18">
        <v>12.0</v>
      </c>
      <c r="E84" s="10"/>
      <c r="F84" s="20">
        <v>0.3</v>
      </c>
      <c r="G84" s="38">
        <v>15.0</v>
      </c>
      <c r="H84" s="34" t="s">
        <v>136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2" t="s">
        <v>233</v>
      </c>
      <c r="B85" s="14" t="s">
        <v>234</v>
      </c>
      <c r="C85" s="48" t="str">
        <f t="shared" si="4"/>
        <v>MOTUL</v>
      </c>
      <c r="D85" s="18">
        <v>11.0</v>
      </c>
      <c r="E85" s="10"/>
      <c r="F85" s="20">
        <v>0.3</v>
      </c>
      <c r="G85" s="38">
        <v>18.0</v>
      </c>
      <c r="H85" s="34" t="s">
        <v>136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2" t="s">
        <v>236</v>
      </c>
      <c r="B86" s="14" t="s">
        <v>237</v>
      </c>
      <c r="C86" s="48" t="str">
        <f t="shared" si="4"/>
        <v>MOTUL</v>
      </c>
      <c r="D86" s="18">
        <v>12.0</v>
      </c>
      <c r="E86" s="10"/>
      <c r="F86" s="20">
        <v>0.3</v>
      </c>
      <c r="G86" s="38">
        <v>19.0</v>
      </c>
      <c r="H86" s="34" t="s">
        <v>136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2" t="s">
        <v>238</v>
      </c>
      <c r="B87" s="14" t="s">
        <v>239</v>
      </c>
      <c r="C87" s="48" t="str">
        <f t="shared" si="4"/>
        <v>MOTUL</v>
      </c>
      <c r="D87" s="18">
        <v>23.0</v>
      </c>
      <c r="E87" s="10"/>
      <c r="F87" s="20">
        <v>0.3</v>
      </c>
      <c r="G87" s="38">
        <v>19.0</v>
      </c>
      <c r="H87" s="34" t="s">
        <v>136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2" t="s">
        <v>240</v>
      </c>
      <c r="B88" s="14" t="s">
        <v>241</v>
      </c>
      <c r="C88" s="48" t="str">
        <f t="shared" si="4"/>
        <v>MOTUL</v>
      </c>
      <c r="D88" s="18">
        <f t="array" ref="D88">XLOOKUP(B88, Inventario_viejo!A:A, Inventario_viejo!B:B, "No encontrado",1,1)</f>
        <v>1</v>
      </c>
      <c r="E88" s="10"/>
      <c r="F88" s="20">
        <v>0.3</v>
      </c>
      <c r="G88" s="38">
        <v>25.0</v>
      </c>
      <c r="H88" s="34" t="s">
        <v>136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2" t="s">
        <v>243</v>
      </c>
      <c r="B89" s="14" t="s">
        <v>244</v>
      </c>
      <c r="C89" s="48" t="str">
        <f t="shared" si="4"/>
        <v>OILSTONE</v>
      </c>
      <c r="D89" s="18">
        <v>10.0</v>
      </c>
      <c r="E89" s="10"/>
      <c r="F89" s="20">
        <v>0.3</v>
      </c>
      <c r="G89" s="38">
        <v>12.0</v>
      </c>
      <c r="H89" s="34" t="s">
        <v>136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2" t="s">
        <v>245</v>
      </c>
      <c r="B90" s="14" t="s">
        <v>246</v>
      </c>
      <c r="C90" s="48" t="str">
        <f t="shared" si="4"/>
        <v>OILSTONE</v>
      </c>
      <c r="D90" s="18">
        <v>9.0</v>
      </c>
      <c r="E90" s="10"/>
      <c r="F90" s="20">
        <v>0.3</v>
      </c>
      <c r="G90" s="38">
        <v>12.0</v>
      </c>
      <c r="H90" s="34" t="s">
        <v>136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2" t="s">
        <v>247</v>
      </c>
      <c r="B91" s="14" t="s">
        <v>249</v>
      </c>
      <c r="C91" s="48" t="str">
        <f t="shared" si="4"/>
        <v>OILSTONE</v>
      </c>
      <c r="D91" s="18">
        <v>3.0</v>
      </c>
      <c r="E91" s="10"/>
      <c r="F91" s="20">
        <v>0.3</v>
      </c>
      <c r="G91" s="38">
        <v>11.0</v>
      </c>
      <c r="H91" s="34" t="s">
        <v>136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2" t="s">
        <v>250</v>
      </c>
      <c r="B92" s="14" t="s">
        <v>251</v>
      </c>
      <c r="C92" s="48" t="str">
        <f t="shared" si="4"/>
        <v>OILSTONE</v>
      </c>
      <c r="D92" s="18">
        <v>8.0</v>
      </c>
      <c r="E92" s="10"/>
      <c r="F92" s="20">
        <v>0.3</v>
      </c>
      <c r="G92" s="38">
        <v>11.0</v>
      </c>
      <c r="H92" s="34" t="s">
        <v>136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2" t="s">
        <v>252</v>
      </c>
      <c r="B93" s="14" t="s">
        <v>253</v>
      </c>
      <c r="C93" s="48" t="str">
        <f t="shared" si="4"/>
        <v>OILVEN</v>
      </c>
      <c r="D93" s="18">
        <v>7.0</v>
      </c>
      <c r="E93" s="10"/>
      <c r="F93" s="20">
        <v>0.3</v>
      </c>
      <c r="G93" s="38">
        <v>11.0</v>
      </c>
      <c r="H93" s="34" t="s">
        <v>136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2" t="s">
        <v>255</v>
      </c>
      <c r="B94" s="14" t="s">
        <v>256</v>
      </c>
      <c r="C94" s="48" t="str">
        <f t="shared" si="4"/>
        <v>OILVEN</v>
      </c>
      <c r="D94" s="18">
        <v>5.0</v>
      </c>
      <c r="E94" s="10"/>
      <c r="F94" s="20">
        <v>0.3</v>
      </c>
      <c r="G94" s="38">
        <v>12.0</v>
      </c>
      <c r="H94" s="34" t="s">
        <v>136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2" t="s">
        <v>257</v>
      </c>
      <c r="B95" s="14" t="s">
        <v>258</v>
      </c>
      <c r="C95" s="48" t="str">
        <f t="shared" si="4"/>
        <v>OILVEN</v>
      </c>
      <c r="D95" s="18">
        <v>5.0</v>
      </c>
      <c r="E95" s="10"/>
      <c r="F95" s="20">
        <v>0.3</v>
      </c>
      <c r="G95" s="38">
        <v>12.0</v>
      </c>
      <c r="H95" s="34" t="s">
        <v>136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2" t="s">
        <v>260</v>
      </c>
      <c r="B96" s="14" t="s">
        <v>261</v>
      </c>
      <c r="C96" s="48" t="str">
        <f t="shared" si="4"/>
        <v>OILVEN</v>
      </c>
      <c r="D96" s="18">
        <v>10.0</v>
      </c>
      <c r="E96" s="10"/>
      <c r="F96" s="20">
        <v>0.3</v>
      </c>
      <c r="G96" s="38">
        <v>12.0</v>
      </c>
      <c r="H96" s="34" t="s">
        <v>136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33" t="s">
        <v>32</v>
      </c>
      <c r="B97" s="14" t="s">
        <v>262</v>
      </c>
      <c r="C97" s="48" t="str">
        <f t="shared" si="4"/>
        <v>PDV</v>
      </c>
      <c r="D97" s="18">
        <v>0.0</v>
      </c>
      <c r="E97" s="10"/>
      <c r="F97" s="20">
        <v>0.3</v>
      </c>
      <c r="G97" s="38">
        <v>15.0</v>
      </c>
      <c r="H97" s="34" t="s">
        <v>136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33" t="s">
        <v>32</v>
      </c>
      <c r="B98" s="14" t="s">
        <v>264</v>
      </c>
      <c r="C98" s="48" t="str">
        <f t="shared" si="4"/>
        <v>PROFORCE</v>
      </c>
      <c r="D98" s="18">
        <v>5.0</v>
      </c>
      <c r="E98" s="10"/>
      <c r="F98" s="20">
        <v>0.5</v>
      </c>
      <c r="G98" s="38">
        <v>9.0</v>
      </c>
      <c r="H98" s="34" t="s">
        <v>136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2" t="s">
        <v>265</v>
      </c>
      <c r="B99" s="14" t="s">
        <v>266</v>
      </c>
      <c r="C99" s="48" t="str">
        <f t="shared" si="4"/>
        <v>ROSHFRANS</v>
      </c>
      <c r="D99" s="18">
        <v>2.0</v>
      </c>
      <c r="E99" s="10"/>
      <c r="F99" s="20">
        <v>0.3</v>
      </c>
      <c r="G99" s="38">
        <v>16.0</v>
      </c>
      <c r="H99" s="34" t="s">
        <v>136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2" t="s">
        <v>267</v>
      </c>
      <c r="B100" s="14" t="s">
        <v>268</v>
      </c>
      <c r="C100" s="48" t="str">
        <f t="shared" si="4"/>
        <v>ROSHFRANS</v>
      </c>
      <c r="D100" s="18">
        <v>4.0</v>
      </c>
      <c r="E100" s="10"/>
      <c r="F100" s="20">
        <v>0.3</v>
      </c>
      <c r="G100" s="38">
        <v>16.0</v>
      </c>
      <c r="H100" s="34" t="s">
        <v>136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33" t="s">
        <v>32</v>
      </c>
      <c r="B101" s="14" t="s">
        <v>269</v>
      </c>
      <c r="C101" s="48" t="str">
        <f t="shared" si="4"/>
        <v>ROYAL</v>
      </c>
      <c r="D101" s="18">
        <v>0.0</v>
      </c>
      <c r="E101" s="10"/>
      <c r="F101" s="20">
        <v>0.0</v>
      </c>
      <c r="G101" s="38">
        <v>11.0</v>
      </c>
      <c r="H101" s="34" t="s">
        <v>136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33" t="s">
        <v>32</v>
      </c>
      <c r="B102" s="14" t="s">
        <v>270</v>
      </c>
      <c r="C102" s="48" t="str">
        <f t="shared" si="4"/>
        <v>ROYAL</v>
      </c>
      <c r="D102" s="18">
        <v>0.0</v>
      </c>
      <c r="E102" s="10"/>
      <c r="F102" s="20">
        <v>0.5</v>
      </c>
      <c r="G102" s="38">
        <v>11.0</v>
      </c>
      <c r="H102" s="34" t="s">
        <v>136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30" t="s">
        <v>272</v>
      </c>
      <c r="B103" s="14" t="s">
        <v>273</v>
      </c>
      <c r="C103" s="48" t="str">
        <f t="shared" si="4"/>
        <v>ROYAL</v>
      </c>
      <c r="D103" s="18">
        <v>1.0</v>
      </c>
      <c r="E103" s="10"/>
      <c r="F103" s="20">
        <v>0.5</v>
      </c>
      <c r="G103" s="38">
        <v>11.0</v>
      </c>
      <c r="H103" s="34" t="s">
        <v>136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30" t="s">
        <v>274</v>
      </c>
      <c r="B104" s="14" t="s">
        <v>275</v>
      </c>
      <c r="C104" s="48" t="str">
        <f t="shared" si="4"/>
        <v>ROYAL</v>
      </c>
      <c r="D104" s="18">
        <v>1.0</v>
      </c>
      <c r="E104" s="10"/>
      <c r="F104" s="20">
        <v>0.5</v>
      </c>
      <c r="G104" s="38">
        <v>11.0</v>
      </c>
      <c r="H104" s="34" t="s">
        <v>136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33" t="s">
        <v>32</v>
      </c>
      <c r="B105" s="14" t="s">
        <v>276</v>
      </c>
      <c r="C105" s="48" t="str">
        <f t="shared" si="4"/>
        <v>ROYAL</v>
      </c>
      <c r="D105" s="18">
        <v>0.0</v>
      </c>
      <c r="E105" s="10"/>
      <c r="F105" s="20">
        <v>0.5</v>
      </c>
      <c r="G105" s="38">
        <v>11.0</v>
      </c>
      <c r="H105" s="34" t="s">
        <v>136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30" t="s">
        <v>278</v>
      </c>
      <c r="B106" s="14" t="s">
        <v>279</v>
      </c>
      <c r="C106" s="48" t="str">
        <f t="shared" si="4"/>
        <v>ROYAL</v>
      </c>
      <c r="D106" s="18">
        <v>10.0</v>
      </c>
      <c r="E106" s="10"/>
      <c r="F106" s="20">
        <v>0.5</v>
      </c>
      <c r="G106" s="38">
        <v>11.0</v>
      </c>
      <c r="H106" s="34" t="s">
        <v>136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2" t="s">
        <v>280</v>
      </c>
      <c r="B107" s="14" t="s">
        <v>281</v>
      </c>
      <c r="C107" s="48" t="str">
        <f t="shared" si="4"/>
        <v>SCHMIEROL</v>
      </c>
      <c r="D107" s="18">
        <v>10.0</v>
      </c>
      <c r="E107" s="10"/>
      <c r="F107" s="20">
        <v>0.5</v>
      </c>
      <c r="G107" s="38">
        <v>11.0</v>
      </c>
      <c r="H107" s="34" t="s">
        <v>136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30" t="s">
        <v>282</v>
      </c>
      <c r="B108" s="14" t="s">
        <v>283</v>
      </c>
      <c r="C108" s="48" t="str">
        <f t="shared" si="4"/>
        <v>SHELL</v>
      </c>
      <c r="D108" s="18">
        <v>9.0</v>
      </c>
      <c r="E108" s="10"/>
      <c r="F108" s="20">
        <v>0.3</v>
      </c>
      <c r="G108" s="38">
        <v>18.0</v>
      </c>
      <c r="H108" s="34" t="s">
        <v>136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30" t="s">
        <v>285</v>
      </c>
      <c r="B109" s="14" t="s">
        <v>286</v>
      </c>
      <c r="C109" s="48" t="str">
        <f t="shared" si="4"/>
        <v>SHELL</v>
      </c>
      <c r="D109" s="18">
        <v>12.0</v>
      </c>
      <c r="E109" s="10"/>
      <c r="F109" s="20">
        <v>0.3</v>
      </c>
      <c r="G109" s="38">
        <v>18.0</v>
      </c>
      <c r="H109" s="34" t="s">
        <v>136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30" t="s">
        <v>287</v>
      </c>
      <c r="B110" s="14" t="s">
        <v>288</v>
      </c>
      <c r="C110" s="48" t="str">
        <f t="shared" si="4"/>
        <v>SHELL</v>
      </c>
      <c r="D110" s="18">
        <v>10.0</v>
      </c>
      <c r="E110" s="10"/>
      <c r="F110" s="20">
        <v>0.3</v>
      </c>
      <c r="G110" s="38">
        <v>20.0</v>
      </c>
      <c r="H110" s="34" t="s">
        <v>136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33" t="s">
        <v>32</v>
      </c>
      <c r="B111" s="14" t="s">
        <v>289</v>
      </c>
      <c r="C111" s="48" t="str">
        <f t="shared" si="4"/>
        <v>SHELL</v>
      </c>
      <c r="D111" s="18">
        <v>0.0</v>
      </c>
      <c r="E111" s="10"/>
      <c r="F111" s="20">
        <v>0.3</v>
      </c>
      <c r="G111" s="38">
        <v>20.0</v>
      </c>
      <c r="H111" s="34" t="s">
        <v>136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30" t="s">
        <v>290</v>
      </c>
      <c r="B112" s="14" t="s">
        <v>291</v>
      </c>
      <c r="C112" s="48" t="str">
        <f t="shared" si="4"/>
        <v>SHELL</v>
      </c>
      <c r="D112" s="18">
        <v>1.0</v>
      </c>
      <c r="E112" s="10"/>
      <c r="F112" s="20">
        <v>0.3</v>
      </c>
      <c r="G112" s="38">
        <v>76.0</v>
      </c>
      <c r="H112" s="34" t="s">
        <v>136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30" t="s">
        <v>293</v>
      </c>
      <c r="B113" s="14" t="s">
        <v>294</v>
      </c>
      <c r="C113" s="48" t="str">
        <f t="shared" si="4"/>
        <v>SHELL</v>
      </c>
      <c r="D113" s="18">
        <f t="array" ref="D113">XLOOKUP(B113, Inventario_viejo!A:A, Inventario_viejo!B:B, "No encontrado",1,1)</f>
        <v>5</v>
      </c>
      <c r="E113" s="10"/>
      <c r="F113" s="20">
        <v>0.3</v>
      </c>
      <c r="G113" s="38">
        <v>25.0</v>
      </c>
      <c r="H113" s="34" t="s">
        <v>136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2" t="s">
        <v>295</v>
      </c>
      <c r="B114" s="14" t="s">
        <v>296</v>
      </c>
      <c r="C114" s="48" t="str">
        <f t="shared" si="4"/>
        <v>SKY</v>
      </c>
      <c r="D114" s="18">
        <v>6.0</v>
      </c>
      <c r="E114" s="10"/>
      <c r="F114" s="20">
        <v>0.3</v>
      </c>
      <c r="G114" s="38">
        <v>15.0</v>
      </c>
      <c r="H114" s="34" t="s">
        <v>136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2" t="s">
        <v>298</v>
      </c>
      <c r="B115" s="14" t="s">
        <v>299</v>
      </c>
      <c r="C115" s="48" t="str">
        <f t="shared" si="4"/>
        <v>SKY</v>
      </c>
      <c r="D115" s="18">
        <v>12.0</v>
      </c>
      <c r="E115" s="10"/>
      <c r="F115" s="20">
        <v>0.3</v>
      </c>
      <c r="G115" s="38">
        <v>15.0</v>
      </c>
      <c r="H115" s="34" t="s">
        <v>136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2" t="s">
        <v>300</v>
      </c>
      <c r="B116" s="14" t="s">
        <v>301</v>
      </c>
      <c r="C116" s="48" t="str">
        <f t="shared" si="4"/>
        <v>SKY</v>
      </c>
      <c r="D116" s="18">
        <v>6.0</v>
      </c>
      <c r="E116" s="10"/>
      <c r="F116" s="20">
        <v>0.3</v>
      </c>
      <c r="G116" s="38">
        <v>15.0</v>
      </c>
      <c r="H116" s="34" t="s">
        <v>136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2" t="s">
        <v>302</v>
      </c>
      <c r="B117" s="14" t="s">
        <v>303</v>
      </c>
      <c r="C117" s="48" t="str">
        <f t="shared" si="4"/>
        <v>SPEED7</v>
      </c>
      <c r="D117" s="18">
        <f t="array" ref="D117">XLOOKUP(B117, Inventario_viejo!A:A, Inventario_viejo!B:B, "No encontrado",1,1)</f>
        <v>1</v>
      </c>
      <c r="E117" s="10"/>
      <c r="F117" s="20">
        <v>0.5</v>
      </c>
      <c r="G117" s="38">
        <v>10.0</v>
      </c>
      <c r="H117" s="34" t="s">
        <v>136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2" t="s">
        <v>305</v>
      </c>
      <c r="B118" s="14" t="s">
        <v>306</v>
      </c>
      <c r="C118" s="48" t="str">
        <f t="shared" si="4"/>
        <v>SPEED7</v>
      </c>
      <c r="D118" s="18">
        <v>3.0</v>
      </c>
      <c r="E118" s="10"/>
      <c r="F118" s="20">
        <v>0.5</v>
      </c>
      <c r="G118" s="38">
        <v>10.0</v>
      </c>
      <c r="H118" s="34" t="s">
        <v>136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33" t="s">
        <v>32</v>
      </c>
      <c r="B119" s="14" t="s">
        <v>308</v>
      </c>
      <c r="C119" s="48" t="str">
        <f t="shared" si="4"/>
        <v>SPEED7</v>
      </c>
      <c r="D119" s="18">
        <v>0.0</v>
      </c>
      <c r="E119" s="10"/>
      <c r="F119" s="20">
        <v>0.5</v>
      </c>
      <c r="G119" s="38">
        <v>11.0</v>
      </c>
      <c r="H119" s="34" t="s">
        <v>136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2" t="s">
        <v>309</v>
      </c>
      <c r="B120" s="14" t="s">
        <v>310</v>
      </c>
      <c r="C120" s="48" t="str">
        <f t="shared" si="4"/>
        <v>SUPERIOR</v>
      </c>
      <c r="D120" s="18">
        <v>4.0</v>
      </c>
      <c r="E120" s="10"/>
      <c r="F120" s="20">
        <v>0.5</v>
      </c>
      <c r="G120" s="38">
        <v>11.0</v>
      </c>
      <c r="H120" s="34" t="s">
        <v>136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33" t="s">
        <v>32</v>
      </c>
      <c r="B121" s="14" t="s">
        <v>312</v>
      </c>
      <c r="C121" s="48" t="str">
        <f t="shared" si="4"/>
        <v>SUPERIOR</v>
      </c>
      <c r="D121" s="18">
        <v>0.0</v>
      </c>
      <c r="E121" s="10"/>
      <c r="F121" s="20">
        <v>0.5</v>
      </c>
      <c r="G121" s="38">
        <v>12.0</v>
      </c>
      <c r="H121" s="34" t="s">
        <v>136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2" t="s">
        <v>314</v>
      </c>
      <c r="B122" s="14" t="s">
        <v>315</v>
      </c>
      <c r="C122" s="48" t="str">
        <f t="shared" si="4"/>
        <v>ULTRALUB</v>
      </c>
      <c r="D122" s="18">
        <v>6.0</v>
      </c>
      <c r="E122" s="10"/>
      <c r="F122" s="20">
        <v>0.3</v>
      </c>
      <c r="G122" s="38">
        <v>16.0</v>
      </c>
      <c r="H122" s="34" t="s">
        <v>136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2" t="s">
        <v>316</v>
      </c>
      <c r="B123" s="14" t="s">
        <v>317</v>
      </c>
      <c r="C123" s="48" t="str">
        <f t="shared" si="4"/>
        <v>ULTRALUB</v>
      </c>
      <c r="D123" s="18">
        <v>6.0</v>
      </c>
      <c r="E123" s="10"/>
      <c r="F123" s="20">
        <v>0.3</v>
      </c>
      <c r="G123" s="38">
        <v>16.0</v>
      </c>
      <c r="H123" s="34" t="s">
        <v>136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2" t="s">
        <v>319</v>
      </c>
      <c r="B124" s="14" t="s">
        <v>320</v>
      </c>
      <c r="C124" s="48" t="str">
        <f t="shared" si="4"/>
        <v>ULTRALUB</v>
      </c>
      <c r="D124" s="18">
        <f t="array" ref="D124">XLOOKUP(B124, Inventario_viejo!A:A, Inventario_viejo!B:B, "No encontrado",1,1)</f>
        <v>6</v>
      </c>
      <c r="E124" s="10"/>
      <c r="F124" s="20">
        <v>0.3</v>
      </c>
      <c r="G124" s="38">
        <v>17.0</v>
      </c>
      <c r="H124" s="34" t="s">
        <v>136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2" t="s">
        <v>322</v>
      </c>
      <c r="B125" s="14" t="s">
        <v>323</v>
      </c>
      <c r="C125" s="48" t="str">
        <f t="shared" si="4"/>
        <v>ULTRALUB</v>
      </c>
      <c r="D125" s="18">
        <v>11.0</v>
      </c>
      <c r="E125" s="10"/>
      <c r="F125" s="20">
        <v>0.3</v>
      </c>
      <c r="G125" s="38">
        <v>17.0</v>
      </c>
      <c r="H125" s="34" t="s">
        <v>136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2" t="s">
        <v>324</v>
      </c>
      <c r="B126" s="14" t="s">
        <v>325</v>
      </c>
      <c r="C126" s="48" t="str">
        <f t="shared" si="4"/>
        <v>ULTRALUB</v>
      </c>
      <c r="D126" s="18">
        <f t="array" ref="D126">XLOOKUP(B126, Inventario_viejo!A:A, Inventario_viejo!B:B, "No encontrado",1,1)</f>
        <v>6</v>
      </c>
      <c r="E126" s="10"/>
      <c r="F126" s="20">
        <v>0.3</v>
      </c>
      <c r="G126" s="38">
        <v>17.0</v>
      </c>
      <c r="H126" s="34" t="s">
        <v>136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2" t="s">
        <v>327</v>
      </c>
      <c r="B127" s="14" t="s">
        <v>328</v>
      </c>
      <c r="C127" s="48" t="str">
        <f t="shared" si="4"/>
        <v>ULTRALUB</v>
      </c>
      <c r="D127" s="18">
        <v>12.0</v>
      </c>
      <c r="E127" s="10"/>
      <c r="F127" s="20">
        <v>0.3</v>
      </c>
      <c r="G127" s="38">
        <v>17.0</v>
      </c>
      <c r="H127" s="34" t="s">
        <v>136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2" t="s">
        <v>330</v>
      </c>
      <c r="B128" s="14" t="s">
        <v>331</v>
      </c>
      <c r="C128" s="48" t="str">
        <f t="shared" si="4"/>
        <v>VALVOLINE</v>
      </c>
      <c r="D128" s="18">
        <v>5.0</v>
      </c>
      <c r="E128" s="10"/>
      <c r="F128" s="20">
        <v>0.3</v>
      </c>
      <c r="G128" s="38">
        <v>14.0</v>
      </c>
      <c r="H128" s="34" t="s">
        <v>136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2" t="s">
        <v>332</v>
      </c>
      <c r="B129" s="14" t="s">
        <v>333</v>
      </c>
      <c r="C129" s="48" t="str">
        <f t="shared" si="4"/>
        <v>VALVOLINE</v>
      </c>
      <c r="D129" s="18">
        <v>1.0</v>
      </c>
      <c r="E129" s="10"/>
      <c r="F129" s="20">
        <v>0.3</v>
      </c>
      <c r="G129" s="38">
        <v>15.0</v>
      </c>
      <c r="H129" s="34" t="s">
        <v>136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33" t="s">
        <v>32</v>
      </c>
      <c r="B130" s="14" t="s">
        <v>335</v>
      </c>
      <c r="C130" s="48" t="str">
        <f t="shared" si="4"/>
        <v>VALVOLINE</v>
      </c>
      <c r="D130" s="18">
        <v>0.0</v>
      </c>
      <c r="E130" s="10"/>
      <c r="F130" s="20">
        <v>0.3</v>
      </c>
      <c r="G130" s="38">
        <v>15.0</v>
      </c>
      <c r="H130" s="34" t="s">
        <v>136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2" t="s">
        <v>337</v>
      </c>
      <c r="B131" s="14" t="s">
        <v>338</v>
      </c>
      <c r="C131" s="48" t="str">
        <f t="shared" si="4"/>
        <v>VENOCO</v>
      </c>
      <c r="D131" s="18">
        <v>2.0</v>
      </c>
      <c r="E131" s="10"/>
      <c r="F131" s="20">
        <v>0.3</v>
      </c>
      <c r="G131" s="38">
        <v>15.0</v>
      </c>
      <c r="H131" s="34" t="s">
        <v>136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2" t="s">
        <v>340</v>
      </c>
      <c r="B132" s="14" t="s">
        <v>341</v>
      </c>
      <c r="C132" s="48" t="str">
        <f t="shared" si="4"/>
        <v>VENOCO</v>
      </c>
      <c r="D132" s="18">
        <v>12.0</v>
      </c>
      <c r="E132" s="10"/>
      <c r="F132" s="20">
        <v>0.3</v>
      </c>
      <c r="G132" s="38">
        <v>15.0</v>
      </c>
      <c r="H132" s="34" t="s">
        <v>136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2" t="s">
        <v>342</v>
      </c>
      <c r="B133" s="14" t="s">
        <v>343</v>
      </c>
      <c r="C133" s="48" t="str">
        <f t="shared" si="4"/>
        <v>VENOCO</v>
      </c>
      <c r="D133" s="18">
        <f t="array" ref="D133">XLOOKUP(B133, Inventario_viejo!A:A, Inventario_viejo!B:B, "No encontrado",1,1)</f>
        <v>3</v>
      </c>
      <c r="E133" s="10"/>
      <c r="F133" s="20">
        <v>0.3</v>
      </c>
      <c r="G133" s="38">
        <v>15.0</v>
      </c>
      <c r="H133" s="34" t="s">
        <v>136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2" t="s">
        <v>345</v>
      </c>
      <c r="B134" s="14" t="s">
        <v>346</v>
      </c>
      <c r="C134" s="48" t="str">
        <f t="shared" si="4"/>
        <v>VOLTEX</v>
      </c>
      <c r="D134" s="18">
        <v>5.0</v>
      </c>
      <c r="E134" s="10"/>
      <c r="F134" s="20">
        <v>0.5</v>
      </c>
      <c r="G134" s="38">
        <v>10.0</v>
      </c>
      <c r="H134" s="34" t="s">
        <v>136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2" t="s">
        <v>32</v>
      </c>
      <c r="B135" s="14" t="s">
        <v>347</v>
      </c>
      <c r="C135" s="48" t="str">
        <f t="shared" si="4"/>
        <v>VOLTEX</v>
      </c>
      <c r="D135" s="18">
        <v>0.0</v>
      </c>
      <c r="E135" s="10"/>
      <c r="F135" s="20">
        <v>0.5</v>
      </c>
      <c r="G135" s="38">
        <v>11.0</v>
      </c>
      <c r="H135" s="34" t="s">
        <v>136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30" t="s">
        <v>348</v>
      </c>
      <c r="B136" s="14" t="s">
        <v>349</v>
      </c>
      <c r="C136" s="48" t="str">
        <f t="shared" si="4"/>
        <v>XPESO</v>
      </c>
      <c r="D136" s="18">
        <v>30.0</v>
      </c>
      <c r="E136" s="10"/>
      <c r="F136" s="20">
        <v>0.5</v>
      </c>
      <c r="G136" s="38">
        <v>9.0</v>
      </c>
      <c r="H136" s="34" t="s">
        <v>136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30" t="s">
        <v>350</v>
      </c>
      <c r="B137" s="14" t="s">
        <v>351</v>
      </c>
      <c r="C137" s="48" t="str">
        <f t="shared" si="4"/>
        <v>XPESO</v>
      </c>
      <c r="D137" s="18">
        <v>11.0</v>
      </c>
      <c r="E137" s="10"/>
      <c r="F137" s="20">
        <v>0.5</v>
      </c>
      <c r="G137" s="38">
        <v>9.0</v>
      </c>
      <c r="H137" s="34" t="s">
        <v>136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2" t="s">
        <v>352</v>
      </c>
      <c r="B138" s="14" t="s">
        <v>353</v>
      </c>
      <c r="C138" s="48" t="str">
        <f t="shared" si="4"/>
        <v>ZENITH</v>
      </c>
      <c r="D138" s="18">
        <f t="array" ref="D138">XLOOKUP(B138, Inventario_viejo!A:A, Inventario_viejo!B:B, "No encontrado",1,1)</f>
        <v>1</v>
      </c>
      <c r="E138" s="10"/>
      <c r="F138" s="20">
        <v>0.5</v>
      </c>
      <c r="G138" s="38">
        <v>11.0</v>
      </c>
      <c r="H138" s="34" t="s">
        <v>136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2" t="s">
        <v>355</v>
      </c>
      <c r="B139" s="14" t="s">
        <v>356</v>
      </c>
      <c r="C139" s="48" t="str">
        <f t="shared" si="4"/>
        <v>DIMASOIL</v>
      </c>
      <c r="D139" s="18">
        <v>12.0</v>
      </c>
      <c r="E139" s="10"/>
      <c r="F139" s="20">
        <v>0.5</v>
      </c>
      <c r="G139" s="38">
        <v>10.0</v>
      </c>
      <c r="H139" s="34" t="s">
        <v>136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78" t="s">
        <v>357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33" t="s">
        <v>32</v>
      </c>
      <c r="B141" s="14" t="s">
        <v>358</v>
      </c>
      <c r="C141" s="34" t="s">
        <v>359</v>
      </c>
      <c r="D141" s="18"/>
      <c r="E141" s="10"/>
      <c r="F141" s="10"/>
      <c r="G141" s="18"/>
      <c r="H141" s="34" t="s">
        <v>360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33" t="s">
        <v>32</v>
      </c>
      <c r="B142" s="14" t="s">
        <v>361</v>
      </c>
      <c r="C142" s="34" t="s">
        <v>359</v>
      </c>
      <c r="D142" s="18"/>
      <c r="E142" s="10"/>
      <c r="F142" s="10"/>
      <c r="G142" s="18"/>
      <c r="H142" s="34" t="s">
        <v>360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2" t="s">
        <v>363</v>
      </c>
      <c r="B143" s="14" t="s">
        <v>364</v>
      </c>
      <c r="C143" s="34" t="s">
        <v>359</v>
      </c>
      <c r="D143" s="18"/>
      <c r="E143" s="10"/>
      <c r="F143" s="10"/>
      <c r="G143" s="18"/>
      <c r="H143" s="34" t="s">
        <v>360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2" t="s">
        <v>365</v>
      </c>
      <c r="B144" s="14" t="s">
        <v>366</v>
      </c>
      <c r="C144" s="34" t="s">
        <v>359</v>
      </c>
      <c r="D144" s="18"/>
      <c r="E144" s="10"/>
      <c r="F144" s="10"/>
      <c r="G144" s="18"/>
      <c r="H144" s="34" t="s">
        <v>360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2" t="s">
        <v>367</v>
      </c>
      <c r="B145" s="14" t="s">
        <v>368</v>
      </c>
      <c r="C145" s="34" t="s">
        <v>359</v>
      </c>
      <c r="D145" s="18"/>
      <c r="E145" s="10"/>
      <c r="F145" s="10"/>
      <c r="G145" s="18"/>
      <c r="H145" s="34" t="s">
        <v>360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2" t="s">
        <v>369</v>
      </c>
      <c r="B146" s="14" t="s">
        <v>370</v>
      </c>
      <c r="C146" s="34" t="s">
        <v>359</v>
      </c>
      <c r="D146" s="18"/>
      <c r="E146" s="10"/>
      <c r="F146" s="10"/>
      <c r="G146" s="18"/>
      <c r="H146" s="34" t="s">
        <v>360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2" t="s">
        <v>371</v>
      </c>
      <c r="B147" s="14" t="s">
        <v>372</v>
      </c>
      <c r="C147" s="34" t="s">
        <v>359</v>
      </c>
      <c r="D147" s="18"/>
      <c r="E147" s="10"/>
      <c r="F147" s="10"/>
      <c r="G147" s="18"/>
      <c r="H147" s="34" t="s">
        <v>360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2" t="s">
        <v>374</v>
      </c>
      <c r="B148" s="14" t="s">
        <v>375</v>
      </c>
      <c r="C148" s="34" t="s">
        <v>359</v>
      </c>
      <c r="D148" s="18"/>
      <c r="E148" s="10"/>
      <c r="F148" s="10"/>
      <c r="G148" s="18"/>
      <c r="H148" s="34" t="s">
        <v>360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2" t="s">
        <v>369</v>
      </c>
      <c r="B149" s="14" t="s">
        <v>376</v>
      </c>
      <c r="C149" s="34" t="s">
        <v>359</v>
      </c>
      <c r="D149" s="18"/>
      <c r="E149" s="10"/>
      <c r="F149" s="10"/>
      <c r="G149" s="18"/>
      <c r="H149" s="34" t="s">
        <v>360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2" t="s">
        <v>371</v>
      </c>
      <c r="B150" s="14" t="s">
        <v>377</v>
      </c>
      <c r="C150" s="34" t="s">
        <v>359</v>
      </c>
      <c r="D150" s="18"/>
      <c r="E150" s="10"/>
      <c r="F150" s="10"/>
      <c r="G150" s="18"/>
      <c r="H150" s="34" t="s">
        <v>360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2" t="s">
        <v>379</v>
      </c>
      <c r="B151" s="14" t="s">
        <v>380</v>
      </c>
      <c r="C151" s="34" t="s">
        <v>359</v>
      </c>
      <c r="D151" s="18"/>
      <c r="E151" s="10"/>
      <c r="F151" s="10"/>
      <c r="G151" s="18"/>
      <c r="H151" s="34" t="s">
        <v>360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2" t="s">
        <v>381</v>
      </c>
      <c r="B152" s="14" t="s">
        <v>382</v>
      </c>
      <c r="C152" s="34" t="s">
        <v>359</v>
      </c>
      <c r="D152" s="18"/>
      <c r="E152" s="10"/>
      <c r="F152" s="10"/>
      <c r="G152" s="18"/>
      <c r="H152" s="34" t="s">
        <v>360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2" t="s">
        <v>383</v>
      </c>
      <c r="B153" s="14" t="s">
        <v>384</v>
      </c>
      <c r="C153" s="34" t="s">
        <v>359</v>
      </c>
      <c r="D153" s="18"/>
      <c r="E153" s="10"/>
      <c r="F153" s="10"/>
      <c r="G153" s="18"/>
      <c r="H153" s="34" t="s">
        <v>360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80" t="s">
        <v>32</v>
      </c>
      <c r="B154" s="14" t="s">
        <v>386</v>
      </c>
      <c r="C154" s="34" t="s">
        <v>359</v>
      </c>
      <c r="D154" s="18"/>
      <c r="E154" s="10"/>
      <c r="F154" s="10"/>
      <c r="G154" s="18"/>
      <c r="H154" s="34" t="s">
        <v>360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2" t="s">
        <v>388</v>
      </c>
      <c r="B155" s="14" t="s">
        <v>390</v>
      </c>
      <c r="C155" s="34" t="s">
        <v>359</v>
      </c>
      <c r="D155" s="18"/>
      <c r="E155" s="10"/>
      <c r="F155" s="10"/>
      <c r="G155" s="18"/>
      <c r="H155" s="34" t="s">
        <v>360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2" t="s">
        <v>391</v>
      </c>
      <c r="B156" s="14" t="s">
        <v>393</v>
      </c>
      <c r="C156" s="34" t="s">
        <v>359</v>
      </c>
      <c r="D156" s="18"/>
      <c r="E156" s="10"/>
      <c r="F156" s="10"/>
      <c r="G156" s="18"/>
      <c r="H156" s="34" t="s">
        <v>360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2" t="s">
        <v>394</v>
      </c>
      <c r="B157" s="14" t="s">
        <v>395</v>
      </c>
      <c r="C157" s="34" t="s">
        <v>359</v>
      </c>
      <c r="D157" s="18"/>
      <c r="E157" s="10"/>
      <c r="F157" s="10"/>
      <c r="G157" s="18"/>
      <c r="H157" s="34" t="s">
        <v>360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80" t="s">
        <v>32</v>
      </c>
      <c r="B158" s="14" t="s">
        <v>397</v>
      </c>
      <c r="C158" s="34" t="s">
        <v>359</v>
      </c>
      <c r="D158" s="18"/>
      <c r="E158" s="10"/>
      <c r="F158" s="10"/>
      <c r="G158" s="18"/>
      <c r="H158" s="34" t="s">
        <v>360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2" t="s">
        <v>399</v>
      </c>
      <c r="B159" s="14" t="s">
        <v>400</v>
      </c>
      <c r="C159" s="34" t="s">
        <v>359</v>
      </c>
      <c r="D159" s="18"/>
      <c r="E159" s="10"/>
      <c r="F159" s="10"/>
      <c r="G159" s="18"/>
      <c r="H159" s="34" t="s">
        <v>360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2" t="s">
        <v>401</v>
      </c>
      <c r="B160" s="14" t="s">
        <v>402</v>
      </c>
      <c r="C160" s="34" t="s">
        <v>359</v>
      </c>
      <c r="D160" s="18"/>
      <c r="E160" s="10"/>
      <c r="F160" s="10"/>
      <c r="G160" s="18"/>
      <c r="H160" s="34" t="s">
        <v>360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80" t="s">
        <v>32</v>
      </c>
      <c r="B161" s="14" t="s">
        <v>404</v>
      </c>
      <c r="C161" s="34" t="s">
        <v>359</v>
      </c>
      <c r="D161" s="18"/>
      <c r="E161" s="10"/>
      <c r="F161" s="10"/>
      <c r="G161" s="18"/>
      <c r="H161" s="34" t="s">
        <v>360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2" t="s">
        <v>405</v>
      </c>
      <c r="B162" s="14" t="s">
        <v>406</v>
      </c>
      <c r="C162" s="34" t="s">
        <v>359</v>
      </c>
      <c r="D162" s="18"/>
      <c r="E162" s="10"/>
      <c r="F162" s="10"/>
      <c r="G162" s="18"/>
      <c r="H162" s="34" t="s">
        <v>360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2" t="s">
        <v>408</v>
      </c>
      <c r="B163" s="14" t="s">
        <v>409</v>
      </c>
      <c r="C163" s="34" t="s">
        <v>359</v>
      </c>
      <c r="D163" s="18"/>
      <c r="E163" s="10"/>
      <c r="F163" s="10"/>
      <c r="G163" s="18"/>
      <c r="H163" s="34" t="s">
        <v>360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2" t="s">
        <v>383</v>
      </c>
      <c r="B164" s="14" t="s">
        <v>411</v>
      </c>
      <c r="C164" s="34" t="s">
        <v>359</v>
      </c>
      <c r="D164" s="18"/>
      <c r="E164" s="10"/>
      <c r="F164" s="10"/>
      <c r="G164" s="18"/>
      <c r="H164" s="34" t="s">
        <v>360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2" t="s">
        <v>412</v>
      </c>
      <c r="B165" s="14" t="s">
        <v>413</v>
      </c>
      <c r="C165" s="34" t="s">
        <v>359</v>
      </c>
      <c r="D165" s="18"/>
      <c r="E165" s="10"/>
      <c r="F165" s="10"/>
      <c r="G165" s="18"/>
      <c r="H165" s="34" t="s">
        <v>360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2" t="s">
        <v>415</v>
      </c>
      <c r="B166" s="14" t="s">
        <v>416</v>
      </c>
      <c r="C166" s="34" t="s">
        <v>359</v>
      </c>
      <c r="D166" s="18"/>
      <c r="E166" s="10"/>
      <c r="F166" s="10"/>
      <c r="G166" s="18"/>
      <c r="H166" s="34" t="s">
        <v>360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2" t="s">
        <v>417</v>
      </c>
      <c r="B167" s="14" t="s">
        <v>418</v>
      </c>
      <c r="C167" s="34" t="s">
        <v>359</v>
      </c>
      <c r="D167" s="18"/>
      <c r="E167" s="10"/>
      <c r="F167" s="10"/>
      <c r="G167" s="18"/>
      <c r="H167" s="34" t="s">
        <v>360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2" t="s">
        <v>420</v>
      </c>
      <c r="B168" s="14" t="s">
        <v>421</v>
      </c>
      <c r="C168" s="34" t="s">
        <v>359</v>
      </c>
      <c r="D168" s="18"/>
      <c r="E168" s="10"/>
      <c r="F168" s="10"/>
      <c r="G168" s="18"/>
      <c r="H168" s="34" t="s">
        <v>360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2" t="s">
        <v>422</v>
      </c>
      <c r="B169" s="14" t="s">
        <v>423</v>
      </c>
      <c r="C169" s="34" t="s">
        <v>359</v>
      </c>
      <c r="D169" s="18"/>
      <c r="E169" s="10"/>
      <c r="F169" s="10"/>
      <c r="G169" s="18"/>
      <c r="H169" s="34" t="s">
        <v>360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2" t="s">
        <v>425</v>
      </c>
      <c r="B170" s="14" t="s">
        <v>426</v>
      </c>
      <c r="C170" s="34" t="s">
        <v>359</v>
      </c>
      <c r="D170" s="18"/>
      <c r="E170" s="10"/>
      <c r="F170" s="10"/>
      <c r="G170" s="18"/>
      <c r="H170" s="34" t="s">
        <v>360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2" t="s">
        <v>427</v>
      </c>
      <c r="B171" s="14" t="s">
        <v>428</v>
      </c>
      <c r="C171" s="34" t="s">
        <v>359</v>
      </c>
      <c r="D171" s="18"/>
      <c r="E171" s="10"/>
      <c r="F171" s="10"/>
      <c r="G171" s="18"/>
      <c r="H171" s="34" t="s">
        <v>360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2" t="s">
        <v>430</v>
      </c>
      <c r="B172" s="14" t="s">
        <v>431</v>
      </c>
      <c r="C172" s="34" t="s">
        <v>432</v>
      </c>
      <c r="D172" s="18"/>
      <c r="E172" s="10"/>
      <c r="F172" s="10"/>
      <c r="G172" s="18"/>
      <c r="H172" s="34" t="s">
        <v>360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2" t="s">
        <v>434</v>
      </c>
      <c r="B173" s="14" t="s">
        <v>435</v>
      </c>
      <c r="C173" s="34" t="s">
        <v>432</v>
      </c>
      <c r="D173" s="18"/>
      <c r="E173" s="10"/>
      <c r="F173" s="10"/>
      <c r="G173" s="18"/>
      <c r="H173" s="34" t="s">
        <v>360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2" t="s">
        <v>436</v>
      </c>
      <c r="B174" s="14" t="s">
        <v>437</v>
      </c>
      <c r="C174" s="34" t="s">
        <v>432</v>
      </c>
      <c r="D174" s="18"/>
      <c r="E174" s="10"/>
      <c r="F174" s="10"/>
      <c r="G174" s="18"/>
      <c r="H174" s="34" t="s">
        <v>360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2" t="s">
        <v>438</v>
      </c>
      <c r="B175" s="14" t="s">
        <v>439</v>
      </c>
      <c r="C175" s="34" t="s">
        <v>432</v>
      </c>
      <c r="D175" s="18"/>
      <c r="E175" s="10"/>
      <c r="F175" s="10"/>
      <c r="G175" s="18"/>
      <c r="H175" s="34" t="s">
        <v>360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2" t="s">
        <v>441</v>
      </c>
      <c r="B176" s="14" t="s">
        <v>442</v>
      </c>
      <c r="C176" s="34" t="s">
        <v>432</v>
      </c>
      <c r="D176" s="18"/>
      <c r="E176" s="10"/>
      <c r="F176" s="10"/>
      <c r="G176" s="18"/>
      <c r="H176" s="34" t="s">
        <v>360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2" t="s">
        <v>443</v>
      </c>
      <c r="B177" s="14" t="s">
        <v>444</v>
      </c>
      <c r="C177" s="34" t="s">
        <v>432</v>
      </c>
      <c r="D177" s="18"/>
      <c r="E177" s="10"/>
      <c r="F177" s="10"/>
      <c r="G177" s="18"/>
      <c r="H177" s="34" t="s">
        <v>360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2" t="s">
        <v>446</v>
      </c>
      <c r="B178" s="14" t="s">
        <v>447</v>
      </c>
      <c r="C178" s="34" t="s">
        <v>432</v>
      </c>
      <c r="D178" s="18"/>
      <c r="E178" s="10"/>
      <c r="F178" s="10"/>
      <c r="G178" s="18"/>
      <c r="H178" s="34" t="s">
        <v>360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2" t="s">
        <v>448</v>
      </c>
      <c r="B179" s="14" t="s">
        <v>449</v>
      </c>
      <c r="C179" s="34" t="s">
        <v>432</v>
      </c>
      <c r="D179" s="18"/>
      <c r="E179" s="10"/>
      <c r="F179" s="10"/>
      <c r="G179" s="18"/>
      <c r="H179" s="34" t="s">
        <v>360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33" t="s">
        <v>32</v>
      </c>
      <c r="B180" s="14" t="s">
        <v>451</v>
      </c>
      <c r="C180" s="34" t="s">
        <v>452</v>
      </c>
      <c r="D180" s="18"/>
      <c r="E180" s="10"/>
      <c r="F180" s="10"/>
      <c r="G180" s="18"/>
      <c r="H180" s="34" t="s">
        <v>360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33" t="s">
        <v>32</v>
      </c>
      <c r="B181" s="14" t="s">
        <v>453</v>
      </c>
      <c r="C181" s="34" t="s">
        <v>452</v>
      </c>
      <c r="D181" s="18"/>
      <c r="E181" s="10"/>
      <c r="F181" s="10"/>
      <c r="G181" s="18"/>
      <c r="H181" s="34" t="s">
        <v>360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33" t="s">
        <v>32</v>
      </c>
      <c r="B182" s="14" t="s">
        <v>455</v>
      </c>
      <c r="C182" s="34" t="s">
        <v>452</v>
      </c>
      <c r="D182" s="18"/>
      <c r="E182" s="10"/>
      <c r="F182" s="10"/>
      <c r="G182" s="18"/>
      <c r="H182" s="34" t="s">
        <v>360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33" t="s">
        <v>32</v>
      </c>
      <c r="B183" s="14" t="s">
        <v>456</v>
      </c>
      <c r="C183" s="34" t="s">
        <v>457</v>
      </c>
      <c r="D183" s="18"/>
      <c r="E183" s="10"/>
      <c r="F183" s="10"/>
      <c r="G183" s="18"/>
      <c r="H183" s="34" t="s">
        <v>360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33" t="s">
        <v>32</v>
      </c>
      <c r="B184" s="14" t="s">
        <v>458</v>
      </c>
      <c r="C184" s="34" t="s">
        <v>457</v>
      </c>
      <c r="D184" s="18"/>
      <c r="E184" s="10"/>
      <c r="F184" s="10"/>
      <c r="G184" s="18"/>
      <c r="H184" s="34" t="s">
        <v>360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33" t="s">
        <v>32</v>
      </c>
      <c r="B185" s="14" t="s">
        <v>460</v>
      </c>
      <c r="C185" s="34" t="s">
        <v>432</v>
      </c>
      <c r="D185" s="18"/>
      <c r="E185" s="10"/>
      <c r="F185" s="10"/>
      <c r="G185" s="18"/>
      <c r="H185" s="34" t="s">
        <v>360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33" t="s">
        <v>32</v>
      </c>
      <c r="B186" s="14" t="s">
        <v>461</v>
      </c>
      <c r="C186" s="34" t="s">
        <v>432</v>
      </c>
      <c r="D186" s="18"/>
      <c r="E186" s="10"/>
      <c r="F186" s="10"/>
      <c r="G186" s="18"/>
      <c r="H186" s="34" t="s">
        <v>360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33" t="s">
        <v>32</v>
      </c>
      <c r="B187" s="14" t="s">
        <v>462</v>
      </c>
      <c r="C187" s="34" t="s">
        <v>463</v>
      </c>
      <c r="D187" s="18"/>
      <c r="E187" s="10"/>
      <c r="F187" s="10"/>
      <c r="G187" s="18"/>
      <c r="H187" s="34" t="s">
        <v>360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33" t="s">
        <v>32</v>
      </c>
      <c r="B188" s="14" t="s">
        <v>464</v>
      </c>
      <c r="C188" s="34" t="s">
        <v>463</v>
      </c>
      <c r="D188" s="18"/>
      <c r="E188" s="10"/>
      <c r="F188" s="10"/>
      <c r="G188" s="18"/>
      <c r="H188" s="34" t="s">
        <v>360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33" t="s">
        <v>32</v>
      </c>
      <c r="B189" s="14" t="s">
        <v>465</v>
      </c>
      <c r="C189" s="34" t="s">
        <v>463</v>
      </c>
      <c r="D189" s="18"/>
      <c r="E189" s="10"/>
      <c r="F189" s="10"/>
      <c r="G189" s="18"/>
      <c r="H189" s="34" t="s">
        <v>360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33" t="s">
        <v>32</v>
      </c>
      <c r="B190" s="14" t="s">
        <v>466</v>
      </c>
      <c r="C190" s="34" t="s">
        <v>463</v>
      </c>
      <c r="D190" s="18"/>
      <c r="E190" s="10"/>
      <c r="F190" s="10"/>
      <c r="G190" s="18"/>
      <c r="H190" s="34" t="s">
        <v>360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33" t="s">
        <v>32</v>
      </c>
      <c r="B191" s="14" t="s">
        <v>467</v>
      </c>
      <c r="C191" s="39" t="s">
        <v>468</v>
      </c>
      <c r="D191" s="18"/>
      <c r="E191" s="10"/>
      <c r="F191" s="10"/>
      <c r="G191" s="18"/>
      <c r="H191" s="34" t="s">
        <v>360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33" t="s">
        <v>32</v>
      </c>
      <c r="B192" s="14" t="s">
        <v>469</v>
      </c>
      <c r="C192" s="34" t="s">
        <v>470</v>
      </c>
      <c r="D192" s="18"/>
      <c r="E192" s="10"/>
      <c r="F192" s="10"/>
      <c r="G192" s="18"/>
      <c r="H192" s="34" t="s">
        <v>360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33" t="s">
        <v>32</v>
      </c>
      <c r="B193" s="14" t="s">
        <v>471</v>
      </c>
      <c r="C193" s="34" t="s">
        <v>470</v>
      </c>
      <c r="D193" s="18"/>
      <c r="E193" s="10"/>
      <c r="F193" s="10"/>
      <c r="G193" s="18"/>
      <c r="H193" s="34" t="s">
        <v>360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33" t="s">
        <v>32</v>
      </c>
      <c r="B194" s="14" t="s">
        <v>472</v>
      </c>
      <c r="C194" s="34" t="s">
        <v>470</v>
      </c>
      <c r="D194" s="18"/>
      <c r="E194" s="10"/>
      <c r="F194" s="10"/>
      <c r="G194" s="18"/>
      <c r="H194" s="34" t="s">
        <v>360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33" t="s">
        <v>32</v>
      </c>
      <c r="B195" s="14" t="s">
        <v>473</v>
      </c>
      <c r="C195" s="34" t="s">
        <v>470</v>
      </c>
      <c r="D195" s="18"/>
      <c r="E195" s="10"/>
      <c r="F195" s="10"/>
      <c r="G195" s="18"/>
      <c r="H195" s="34" t="s">
        <v>360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33" t="s">
        <v>32</v>
      </c>
      <c r="B196" s="14" t="s">
        <v>475</v>
      </c>
      <c r="C196" s="34" t="s">
        <v>470</v>
      </c>
      <c r="D196" s="18"/>
      <c r="E196" s="10"/>
      <c r="F196" s="10"/>
      <c r="G196" s="18"/>
      <c r="H196" s="34" t="s">
        <v>360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33" t="s">
        <v>32</v>
      </c>
      <c r="B197" s="14" t="s">
        <v>476</v>
      </c>
      <c r="C197" s="34" t="s">
        <v>470</v>
      </c>
      <c r="D197" s="18"/>
      <c r="E197" s="10"/>
      <c r="F197" s="10"/>
      <c r="G197" s="18"/>
      <c r="H197" s="34" t="s">
        <v>360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33" t="s">
        <v>32</v>
      </c>
      <c r="B198" s="14" t="s">
        <v>478</v>
      </c>
      <c r="C198" s="34" t="s">
        <v>479</v>
      </c>
      <c r="D198" s="18"/>
      <c r="E198" s="10"/>
      <c r="F198" s="10"/>
      <c r="G198" s="18"/>
      <c r="H198" s="34" t="s">
        <v>360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33" t="s">
        <v>32</v>
      </c>
      <c r="B199" s="14" t="s">
        <v>480</v>
      </c>
      <c r="C199" s="34" t="s">
        <v>481</v>
      </c>
      <c r="D199" s="18"/>
      <c r="E199" s="10"/>
      <c r="F199" s="10"/>
      <c r="G199" s="18"/>
      <c r="H199" s="34" t="s">
        <v>360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33" t="s">
        <v>32</v>
      </c>
      <c r="B200" s="14" t="s">
        <v>483</v>
      </c>
      <c r="C200" s="34" t="s">
        <v>432</v>
      </c>
      <c r="D200" s="18"/>
      <c r="E200" s="10"/>
      <c r="F200" s="10"/>
      <c r="G200" s="18"/>
      <c r="H200" s="34" t="s">
        <v>360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78" t="s">
        <v>484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33" t="s">
        <v>32</v>
      </c>
      <c r="B202" s="84" t="s">
        <v>486</v>
      </c>
      <c r="C202" s="34" t="s">
        <v>487</v>
      </c>
      <c r="D202" s="18"/>
      <c r="E202" s="10"/>
      <c r="F202" s="10"/>
      <c r="G202" s="18"/>
      <c r="H202" s="18" t="str">
        <f>IFERROR(__xludf.DUMMYFUNCTION("AI(""Introduce un valor adecuado para esta celda según el contexto de la tabla"")"),"Químicos")</f>
        <v>Químicos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2" t="s">
        <v>488</v>
      </c>
      <c r="B203" s="84" t="s">
        <v>489</v>
      </c>
      <c r="C203" s="34" t="str">
        <f>IFERROR(__xludf.DUMMYFUNCTION("AI(""Introduce un valor adecuado para esta celda según el contexto de la tabla"")"),"FIRESTOP")</f>
        <v>FIRESTOP</v>
      </c>
      <c r="D203" s="18"/>
      <c r="E203" s="10"/>
      <c r="F203" s="10"/>
      <c r="G203" s="18"/>
      <c r="H203" s="18" t="str">
        <f>IFERROR(__xludf.DUMMYFUNCTION("AI(""Introduce un valor adecuado para esta celda según el contexto de la tabla"")"),"Químicos")</f>
        <v>Químicos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2" t="s">
        <v>491</v>
      </c>
      <c r="B204" s="84" t="s">
        <v>492</v>
      </c>
      <c r="C204" s="34" t="s">
        <v>487</v>
      </c>
      <c r="D204" s="18"/>
      <c r="E204" s="10"/>
      <c r="F204" s="10"/>
      <c r="G204" s="18"/>
      <c r="H204" s="18" t="str">
        <f>IFERROR(__xludf.DUMMYFUNCTION("AI(""Introduce un valor adecuado para esta celda según el contexto de la tabla"")"),"Químicos")</f>
        <v>Químicos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33" t="s">
        <v>32</v>
      </c>
      <c r="B205" s="84" t="s">
        <v>494</v>
      </c>
      <c r="C205" s="34" t="s">
        <v>487</v>
      </c>
      <c r="D205" s="18"/>
      <c r="E205" s="10"/>
      <c r="F205" s="10"/>
      <c r="G205" s="18"/>
      <c r="H205" s="18" t="str">
        <f>IFERROR(__xludf.DUMMYFUNCTION("AI(""Introduce un valor adecuado para esta celda según el contexto de la tabla"")"),"Químicos")</f>
        <v>Químicos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2" t="s">
        <v>495</v>
      </c>
      <c r="B206" s="84" t="s">
        <v>497</v>
      </c>
      <c r="C206" s="34" t="s">
        <v>487</v>
      </c>
      <c r="D206" s="18"/>
      <c r="E206" s="10"/>
      <c r="F206" s="10"/>
      <c r="G206" s="18"/>
      <c r="H206" s="38" t="s">
        <v>498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33" t="s">
        <v>32</v>
      </c>
      <c r="B207" s="84" t="s">
        <v>500</v>
      </c>
      <c r="C207" s="34" t="s">
        <v>487</v>
      </c>
      <c r="D207" s="18"/>
      <c r="E207" s="10"/>
      <c r="F207" s="10"/>
      <c r="G207" s="18"/>
      <c r="H207" s="18" t="str">
        <f>IFERROR(__xludf.DUMMYFUNCTION("AI(""Introduce un valor adecuado para esta celda según el contexto de la tabla"")"),"Químicos")</f>
        <v>Químicos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2" t="s">
        <v>502</v>
      </c>
      <c r="B208" s="84" t="s">
        <v>503</v>
      </c>
      <c r="C208" s="34" t="s">
        <v>487</v>
      </c>
      <c r="D208" s="18"/>
      <c r="E208" s="10"/>
      <c r="F208" s="10"/>
      <c r="G208" s="18"/>
      <c r="H208" s="38" t="s">
        <v>498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2" t="s">
        <v>502</v>
      </c>
      <c r="B209" s="84" t="s">
        <v>504</v>
      </c>
      <c r="C209" s="34" t="s">
        <v>487</v>
      </c>
      <c r="D209" s="18"/>
      <c r="E209" s="10"/>
      <c r="F209" s="10"/>
      <c r="G209" s="18"/>
      <c r="H209" s="18" t="str">
        <f>IFERROR(__xludf.DUMMYFUNCTION("AI(""Introduce un valor adecuado para esta celda según el contexto de la tabla"")"),"Químicos")</f>
        <v>Químicos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2" t="s">
        <v>502</v>
      </c>
      <c r="B210" s="84" t="s">
        <v>506</v>
      </c>
      <c r="C210" s="34" t="s">
        <v>487</v>
      </c>
      <c r="D210" s="18"/>
      <c r="E210" s="10"/>
      <c r="F210" s="10"/>
      <c r="G210" s="18"/>
      <c r="H210" s="38" t="s">
        <v>498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2" t="s">
        <v>508</v>
      </c>
      <c r="B211" s="84" t="s">
        <v>509</v>
      </c>
      <c r="C211" s="34" t="s">
        <v>487</v>
      </c>
      <c r="D211" s="18"/>
      <c r="E211" s="10"/>
      <c r="F211" s="10"/>
      <c r="G211" s="18"/>
      <c r="H211" s="18" t="str">
        <f>IFERROR(__xludf.DUMMYFUNCTION("AI(""Introduce un valor adecuado para esta celda según el contexto de la tabla"")"),"Químicos")</f>
        <v>Químicos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2" t="s">
        <v>511</v>
      </c>
      <c r="B212" s="84" t="s">
        <v>512</v>
      </c>
      <c r="C212" s="34" t="s">
        <v>487</v>
      </c>
      <c r="D212" s="18"/>
      <c r="E212" s="10"/>
      <c r="F212" s="10"/>
      <c r="G212" s="18"/>
      <c r="H212" s="18" t="str">
        <f>IFERROR(__xludf.DUMMYFUNCTION("AI(""Introduce un valor adecuado para esta celda según el contexto de la tabla"")"),"Multiusos / Lubricantes")</f>
        <v>Multiusos / Lubricantes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2" t="s">
        <v>514</v>
      </c>
      <c r="B213" s="84" t="s">
        <v>515</v>
      </c>
      <c r="C213" s="34" t="s">
        <v>487</v>
      </c>
      <c r="D213" s="18"/>
      <c r="E213" s="10"/>
      <c r="F213" s="10"/>
      <c r="G213" s="18"/>
      <c r="H213" s="18" t="str">
        <f>IFERROR(__xludf.DUMMYFUNCTION("AI(""Introduce un valor adecuado para esta celda según el contexto de la tabla"")"),"Químicos")</f>
        <v>Químicos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2" t="s">
        <v>516</v>
      </c>
      <c r="B214" s="84" t="s">
        <v>518</v>
      </c>
      <c r="C214" s="34" t="s">
        <v>519</v>
      </c>
      <c r="D214" s="18"/>
      <c r="E214" s="10"/>
      <c r="F214" s="10"/>
      <c r="G214" s="18"/>
      <c r="H214" s="18" t="str">
        <f>IFERROR(__xludf.DUMMYFUNCTION("AI(""Introduce un valor adecuado para esta celda según el contexto de la tabla"")"),"Limpieza / Químicos / Aditivos")</f>
        <v>Limpieza / Químicos / Aditivos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2" t="s">
        <v>520</v>
      </c>
      <c r="B215" s="84" t="s">
        <v>521</v>
      </c>
      <c r="C215" s="34" t="s">
        <v>487</v>
      </c>
      <c r="D215" s="18"/>
      <c r="E215" s="10"/>
      <c r="F215" s="10"/>
      <c r="G215" s="18"/>
      <c r="H215" s="18" t="str">
        <f>IFERROR(__xludf.DUMMYFUNCTION("AI(""Introduce un valor adecuado para esta celda según el contexto de la tabla"")"),"Químicos")</f>
        <v>Químicos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2" t="s">
        <v>523</v>
      </c>
      <c r="B216" s="84" t="s">
        <v>524</v>
      </c>
      <c r="C216" s="34" t="s">
        <v>487</v>
      </c>
      <c r="D216" s="18"/>
      <c r="E216" s="10"/>
      <c r="F216" s="10"/>
      <c r="G216" s="18"/>
      <c r="H216" s="38" t="s">
        <v>498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80" t="s">
        <v>32</v>
      </c>
      <c r="B217" s="84" t="s">
        <v>526</v>
      </c>
      <c r="C217" s="34" t="s">
        <v>487</v>
      </c>
      <c r="D217" s="18"/>
      <c r="E217" s="10"/>
      <c r="F217" s="10"/>
      <c r="G217" s="18"/>
      <c r="H217" s="38" t="s">
        <v>498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2" t="s">
        <v>527</v>
      </c>
      <c r="B218" s="84" t="s">
        <v>528</v>
      </c>
      <c r="C218" s="34" t="s">
        <v>529</v>
      </c>
      <c r="D218" s="18"/>
      <c r="E218" s="10"/>
      <c r="F218" s="10"/>
      <c r="G218" s="18"/>
      <c r="H218" s="18" t="str">
        <f>IFERROR(__xludf.DUMMYFUNCTION("AI(""Introduce un valor adecuado para esta celda según el contexto de la tabla"")"),"Multiusos / Lubricantes")</f>
        <v>Multiusos / Lubricantes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33" t="s">
        <v>32</v>
      </c>
      <c r="B219" s="84" t="s">
        <v>530</v>
      </c>
      <c r="C219" s="34" t="s">
        <v>529</v>
      </c>
      <c r="D219" s="18"/>
      <c r="E219" s="10"/>
      <c r="F219" s="10"/>
      <c r="G219" s="18"/>
      <c r="H219" s="18" t="str">
        <f>IFERROR(__xludf.DUMMYFUNCTION("AI(""Introduce un valor adecuado para esta celda según el contexto de la tabla"")"),"Multiusos / Lubricantes")</f>
        <v>Multiusos / Lubricantes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33" t="s">
        <v>32</v>
      </c>
      <c r="B220" s="84" t="s">
        <v>531</v>
      </c>
      <c r="C220" s="34" t="s">
        <v>532</v>
      </c>
      <c r="D220" s="18"/>
      <c r="E220" s="10"/>
      <c r="F220" s="10"/>
      <c r="G220" s="18"/>
      <c r="H220" s="38" t="s">
        <v>498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33" t="s">
        <v>32</v>
      </c>
      <c r="B221" s="84" t="s">
        <v>533</v>
      </c>
      <c r="C221" s="34" t="s">
        <v>532</v>
      </c>
      <c r="D221" s="18"/>
      <c r="E221" s="10"/>
      <c r="F221" s="10"/>
      <c r="G221" s="18"/>
      <c r="H221" s="18" t="str">
        <f>IFERROR(__xludf.DUMMYFUNCTION("AI(""Introduce un valor adecuado para esta celda según el contexto de la tabla"")"),"Químicos")</f>
        <v>Químicos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33" t="s">
        <v>32</v>
      </c>
      <c r="B222" s="84" t="s">
        <v>534</v>
      </c>
      <c r="C222" s="34" t="s">
        <v>532</v>
      </c>
      <c r="D222" s="18"/>
      <c r="E222" s="10"/>
      <c r="F222" s="10"/>
      <c r="G222" s="18"/>
      <c r="H222" s="18" t="str">
        <f>IFERROR(__xludf.DUMMYFUNCTION("AI(""Introduce un valor adecuado para esta celda según el contexto de la tabla"")"),"Multiusos / Lubricantes")</f>
        <v>Multiusos / Lubricantes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33" t="s">
        <v>32</v>
      </c>
      <c r="B223" s="84" t="s">
        <v>536</v>
      </c>
      <c r="C223" s="34" t="s">
        <v>532</v>
      </c>
      <c r="D223" s="18"/>
      <c r="E223" s="10"/>
      <c r="F223" s="10"/>
      <c r="G223" s="18"/>
      <c r="H223" s="38" t="s">
        <v>498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33" t="s">
        <v>32</v>
      </c>
      <c r="B224" s="84" t="s">
        <v>538</v>
      </c>
      <c r="C224" s="34" t="s">
        <v>532</v>
      </c>
      <c r="D224" s="18"/>
      <c r="E224" s="10"/>
      <c r="F224" s="10"/>
      <c r="G224" s="18"/>
      <c r="H224" s="38" t="s">
        <v>498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33" t="s">
        <v>32</v>
      </c>
      <c r="B225" s="84" t="s">
        <v>539</v>
      </c>
      <c r="C225" s="34" t="s">
        <v>532</v>
      </c>
      <c r="D225" s="18"/>
      <c r="E225" s="10"/>
      <c r="F225" s="10"/>
      <c r="G225" s="18"/>
      <c r="H225" s="18" t="str">
        <f>IFERROR(__xludf.DUMMYFUNCTION("AI(""Introduce un valor adecuado para esta celda según el contexto de la tabla"")"),"Químicos")</f>
        <v>Químicos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33" t="s">
        <v>32</v>
      </c>
      <c r="B226" s="84" t="s">
        <v>540</v>
      </c>
      <c r="C226" s="34" t="s">
        <v>532</v>
      </c>
      <c r="D226" s="18"/>
      <c r="E226" s="10"/>
      <c r="F226" s="10"/>
      <c r="G226" s="18"/>
      <c r="H226" s="38" t="s">
        <v>498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33" t="s">
        <v>32</v>
      </c>
      <c r="B227" s="84" t="s">
        <v>541</v>
      </c>
      <c r="C227" s="34" t="s">
        <v>532</v>
      </c>
      <c r="D227" s="18"/>
      <c r="E227" s="10"/>
      <c r="F227" s="10"/>
      <c r="G227" s="18"/>
      <c r="H227" s="18" t="str">
        <f>IFERROR(__xludf.DUMMYFUNCTION("AI(""Introduce un valor adecuado para esta celda según el contexto de la tabla"")"),"Químicos")</f>
        <v>Químicos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33" t="s">
        <v>32</v>
      </c>
      <c r="B228" s="84" t="s">
        <v>542</v>
      </c>
      <c r="C228" s="34" t="s">
        <v>543</v>
      </c>
      <c r="D228" s="18"/>
      <c r="E228" s="10"/>
      <c r="F228" s="10"/>
      <c r="G228" s="18"/>
      <c r="H228" s="38" t="s">
        <v>498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33" t="s">
        <v>32</v>
      </c>
      <c r="B229" s="84" t="s">
        <v>544</v>
      </c>
      <c r="C229" s="34" t="s">
        <v>543</v>
      </c>
      <c r="D229" s="18"/>
      <c r="E229" s="10"/>
      <c r="F229" s="10"/>
      <c r="G229" s="18"/>
      <c r="H229" s="38" t="s">
        <v>498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33" t="s">
        <v>32</v>
      </c>
      <c r="B230" s="84" t="s">
        <v>546</v>
      </c>
      <c r="C230" s="34" t="s">
        <v>543</v>
      </c>
      <c r="D230" s="18"/>
      <c r="E230" s="10"/>
      <c r="F230" s="10"/>
      <c r="G230" s="18"/>
      <c r="H230" s="18" t="str">
        <f>IFERROR(__xludf.DUMMYFUNCTION("AI(""Introduce un valor adecuado para esta celda según el contexto de la tabla"")"),"Químicos")</f>
        <v>Químicos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33" t="s">
        <v>32</v>
      </c>
      <c r="B231" s="84" t="s">
        <v>336</v>
      </c>
      <c r="C231" s="34" t="s">
        <v>548</v>
      </c>
      <c r="D231" s="18"/>
      <c r="E231" s="10"/>
      <c r="F231" s="10"/>
      <c r="G231" s="18"/>
      <c r="H231" s="18" t="str">
        <f>IFERROR(__xludf.DUMMYFUNCTION("AI(""Introduce un valor adecuado para esta celda según el contexto de la tabla"")"),"Productos de Limpieza / Químicos")</f>
        <v>Productos de Limpieza / Químicos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33" t="s">
        <v>32</v>
      </c>
      <c r="B232" s="84" t="s">
        <v>549</v>
      </c>
      <c r="C232" s="34" t="s">
        <v>548</v>
      </c>
      <c r="D232" s="18"/>
      <c r="E232" s="10"/>
      <c r="F232" s="10"/>
      <c r="G232" s="18"/>
      <c r="H232" s="38" t="s">
        <v>498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33" t="s">
        <v>32</v>
      </c>
      <c r="B233" s="84" t="s">
        <v>550</v>
      </c>
      <c r="C233" s="34" t="s">
        <v>551</v>
      </c>
      <c r="D233" s="18"/>
      <c r="E233" s="10"/>
      <c r="F233" s="10"/>
      <c r="G233" s="18"/>
      <c r="H233" s="38" t="s">
        <v>498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33" t="s">
        <v>32</v>
      </c>
      <c r="B234" s="84" t="s">
        <v>553</v>
      </c>
      <c r="C234" s="34" t="s">
        <v>554</v>
      </c>
      <c r="D234" s="18"/>
      <c r="E234" s="10"/>
      <c r="F234" s="10"/>
      <c r="G234" s="18"/>
      <c r="H234" s="18" t="str">
        <f>IFERROR(__xludf.DUMMYFUNCTION("AI(""Introduce un valor adecuado para esta celda según el contexto de la tabla"")"),"Químicos")</f>
        <v>Químicos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33" t="s">
        <v>32</v>
      </c>
      <c r="B235" s="84" t="s">
        <v>555</v>
      </c>
      <c r="C235" s="34" t="s">
        <v>556</v>
      </c>
      <c r="D235" s="18"/>
      <c r="E235" s="10"/>
      <c r="F235" s="10"/>
      <c r="G235" s="18"/>
      <c r="H235" s="18" t="str">
        <f>IFERROR(__xludf.DUMMYFUNCTION("AI(""Introduce un valor adecuado para esta celda según el contexto de la tabla"")"),"Químicos")</f>
        <v>Químicos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33" t="s">
        <v>32</v>
      </c>
      <c r="B236" s="84" t="s">
        <v>558</v>
      </c>
      <c r="C236" s="34" t="s">
        <v>554</v>
      </c>
      <c r="D236" s="18"/>
      <c r="E236" s="10"/>
      <c r="F236" s="10"/>
      <c r="G236" s="18"/>
      <c r="H236" s="18" t="str">
        <f>IFERROR(__xludf.DUMMYFUNCTION("AI(""Introduce un valor adecuado para esta celda según el contexto de la tabla"")"),"Químicos")</f>
        <v>Químicos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2" t="s">
        <v>559</v>
      </c>
      <c r="B237" s="84" t="s">
        <v>560</v>
      </c>
      <c r="C237" s="34" t="s">
        <v>561</v>
      </c>
      <c r="D237" s="18"/>
      <c r="E237" s="10"/>
      <c r="F237" s="10"/>
      <c r="G237" s="18"/>
      <c r="H237" s="38" t="s">
        <v>498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2" t="s">
        <v>562</v>
      </c>
      <c r="B238" s="84" t="s">
        <v>563</v>
      </c>
      <c r="C238" s="34" t="s">
        <v>561</v>
      </c>
      <c r="D238" s="18"/>
      <c r="E238" s="10"/>
      <c r="F238" s="10"/>
      <c r="G238" s="18"/>
      <c r="H238" s="18" t="str">
        <f>IFERROR(__xludf.DUMMYFUNCTION("AI(""Introduce un valor adecuado para esta celda según el contexto de la tabla"")"),"Químicos / Aditivos")</f>
        <v>Químicos / Aditivos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33" t="s">
        <v>32</v>
      </c>
      <c r="B239" s="84" t="s">
        <v>565</v>
      </c>
      <c r="C239" s="34" t="s">
        <v>561</v>
      </c>
      <c r="D239" s="18"/>
      <c r="E239" s="10"/>
      <c r="F239" s="10"/>
      <c r="G239" s="18"/>
      <c r="H239" s="18" t="str">
        <f>IFERROR(__xludf.DUMMYFUNCTION("AI(""Introduce un valor adecuado para esta celda según el contexto de la tabla"")"),"Químicos")</f>
        <v>Químicos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2" t="s">
        <v>566</v>
      </c>
      <c r="B240" s="84" t="s">
        <v>567</v>
      </c>
      <c r="C240" s="34" t="s">
        <v>568</v>
      </c>
      <c r="D240" s="18"/>
      <c r="E240" s="10"/>
      <c r="F240" s="10"/>
      <c r="G240" s="18"/>
      <c r="H240" s="18" t="str">
        <f>IFERROR(__xludf.DUMMYFUNCTION("AI(""Introduce un valor adecuado para esta celda según el contexto de la tabla"")"),"Químicos")</f>
        <v>Químicos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33" t="s">
        <v>32</v>
      </c>
      <c r="B241" s="84" t="s">
        <v>569</v>
      </c>
      <c r="C241" s="34" t="s">
        <v>568</v>
      </c>
      <c r="D241" s="18"/>
      <c r="E241" s="10"/>
      <c r="F241" s="10"/>
      <c r="G241" s="18"/>
      <c r="H241" s="18" t="str">
        <f>IFERROR(__xludf.DUMMYFUNCTION("AI(""Introduce un valor adecuado para esta celda según el contexto de la tabla"")"),"Químicos")</f>
        <v>Químicos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2" t="s">
        <v>570</v>
      </c>
      <c r="B242" s="84" t="s">
        <v>571</v>
      </c>
      <c r="C242" s="34" t="s">
        <v>568</v>
      </c>
      <c r="D242" s="18"/>
      <c r="E242" s="10"/>
      <c r="F242" s="10"/>
      <c r="G242" s="18"/>
      <c r="H242" s="38" t="s">
        <v>572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33" t="s">
        <v>32</v>
      </c>
      <c r="B243" s="84" t="s">
        <v>573</v>
      </c>
      <c r="C243" s="34" t="s">
        <v>568</v>
      </c>
      <c r="D243" s="18"/>
      <c r="E243" s="10"/>
      <c r="F243" s="10"/>
      <c r="G243" s="18"/>
      <c r="H243" s="18" t="str">
        <f>IFERROR(__xludf.DUMMYFUNCTION("AI(""Introduce un valor adecuado para esta celda según el contexto de la tabla"")"),"Productos de Limpieza / Químicos")</f>
        <v>Productos de Limpieza / Químicos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33" t="s">
        <v>32</v>
      </c>
      <c r="B244" s="84" t="s">
        <v>574</v>
      </c>
      <c r="C244" s="34" t="s">
        <v>575</v>
      </c>
      <c r="D244" s="18"/>
      <c r="E244" s="10"/>
      <c r="F244" s="10"/>
      <c r="G244" s="18"/>
      <c r="H244" s="18" t="str">
        <f>IFERROR(__xludf.DUMMYFUNCTION("AI(""Introduce un valor adecuado para esta celda según el contexto de la tabla"")"),"Químicos")</f>
        <v>Químicos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33" t="s">
        <v>32</v>
      </c>
      <c r="B245" s="84" t="s">
        <v>577</v>
      </c>
      <c r="C245" s="34" t="s">
        <v>578</v>
      </c>
      <c r="D245" s="18"/>
      <c r="E245" s="10"/>
      <c r="F245" s="10"/>
      <c r="G245" s="18"/>
      <c r="H245" s="18" t="str">
        <f>IFERROR(__xludf.DUMMYFUNCTION("AI(""Introduce un valor adecuado para esta celda según el contexto de la tabla"")"),"Aditivos")</f>
        <v>Aditivos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33" t="s">
        <v>32</v>
      </c>
      <c r="B246" s="84" t="s">
        <v>579</v>
      </c>
      <c r="C246" s="34" t="s">
        <v>580</v>
      </c>
      <c r="D246" s="18"/>
      <c r="E246" s="10"/>
      <c r="F246" s="10"/>
      <c r="G246" s="18"/>
      <c r="H246" s="38" t="s">
        <v>572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33" t="s">
        <v>32</v>
      </c>
      <c r="B247" s="84" t="s">
        <v>583</v>
      </c>
      <c r="C247" s="34" t="s">
        <v>580</v>
      </c>
      <c r="D247" s="18"/>
      <c r="E247" s="10"/>
      <c r="F247" s="10"/>
      <c r="G247" s="18"/>
      <c r="H247" s="38" t="s">
        <v>572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33" t="s">
        <v>32</v>
      </c>
      <c r="B248" s="84" t="s">
        <v>584</v>
      </c>
      <c r="C248" s="34" t="s">
        <v>580</v>
      </c>
      <c r="D248" s="18"/>
      <c r="E248" s="10"/>
      <c r="F248" s="10"/>
      <c r="G248" s="18"/>
      <c r="H248" s="18" t="str">
        <f>IFERROR(__xludf.DUMMYFUNCTION("AI(""Introduce un valor adecuado para esta celda según el contexto de la tabla"")"),"Químicos")</f>
        <v>Químicos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33" t="s">
        <v>32</v>
      </c>
      <c r="B249" s="84" t="s">
        <v>586</v>
      </c>
      <c r="C249" s="34" t="s">
        <v>580</v>
      </c>
      <c r="D249" s="18"/>
      <c r="E249" s="10"/>
      <c r="F249" s="10"/>
      <c r="G249" s="18"/>
      <c r="H249" s="18" t="str">
        <f>IFERROR(__xludf.DUMMYFUNCTION("AI(""Introduce un valor adecuado para esta celda según el contexto de la tabla"")"),"Químicos")</f>
        <v>Químicos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33" t="s">
        <v>32</v>
      </c>
      <c r="B250" s="84" t="s">
        <v>587</v>
      </c>
      <c r="C250" s="34" t="s">
        <v>580</v>
      </c>
      <c r="D250" s="18"/>
      <c r="E250" s="10"/>
      <c r="F250" s="10"/>
      <c r="G250" s="18"/>
      <c r="H250" s="18" t="str">
        <f>IFERROR(__xludf.DUMMYFUNCTION("AI(""Introduce un valor adecuado para esta celda según el contexto de la tabla"")"),"Químicos")</f>
        <v>Químicos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33" t="s">
        <v>32</v>
      </c>
      <c r="B251" s="84" t="s">
        <v>589</v>
      </c>
      <c r="C251" s="34" t="s">
        <v>580</v>
      </c>
      <c r="D251" s="18"/>
      <c r="E251" s="10"/>
      <c r="F251" s="10"/>
      <c r="G251" s="18"/>
      <c r="H251" s="18" t="str">
        <f>IFERROR(__xludf.DUMMYFUNCTION("AI(""Introduce un valor adecuado para esta celda según el contexto de la tabla"")"),"Químicos")</f>
        <v>Químicos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33" t="s">
        <v>32</v>
      </c>
      <c r="B252" s="84" t="s">
        <v>590</v>
      </c>
      <c r="C252" s="34" t="s">
        <v>580</v>
      </c>
      <c r="D252" s="18"/>
      <c r="E252" s="10"/>
      <c r="F252" s="10"/>
      <c r="G252" s="18"/>
      <c r="H252" s="18" t="str">
        <f>IFERROR(__xludf.DUMMYFUNCTION("AI(""Introduce un valor adecuado para esta celda según el contexto de la tabla"")"),"Multiusos / Lubricantes")</f>
        <v>Multiusos / Lubricantes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33" t="s">
        <v>32</v>
      </c>
      <c r="B253" s="84" t="s">
        <v>592</v>
      </c>
      <c r="C253" s="34" t="s">
        <v>580</v>
      </c>
      <c r="D253" s="18"/>
      <c r="E253" s="10"/>
      <c r="F253" s="10"/>
      <c r="G253" s="18"/>
      <c r="H253" s="18" t="str">
        <f>IFERROR(__xludf.DUMMYFUNCTION("AI(""Introduce un valor adecuado para esta celda según el contexto de la tabla"")"),"Multiusos / Lubricantes")</f>
        <v>Multiusos / Lubricantes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33" t="s">
        <v>32</v>
      </c>
      <c r="B254" s="84" t="s">
        <v>594</v>
      </c>
      <c r="C254" s="34" t="s">
        <v>580</v>
      </c>
      <c r="D254" s="18"/>
      <c r="E254" s="10"/>
      <c r="F254" s="10"/>
      <c r="G254" s="18"/>
      <c r="H254" s="18" t="str">
        <f>IFERROR(__xludf.DUMMYFUNCTION("AI(""Introduce un valor adecuado para esta celda según el contexto de la tabla"")"),"Químicos")</f>
        <v>Químicos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33" t="s">
        <v>32</v>
      </c>
      <c r="B255" s="84" t="s">
        <v>596</v>
      </c>
      <c r="C255" s="34" t="s">
        <v>580</v>
      </c>
      <c r="D255" s="18"/>
      <c r="E255" s="10"/>
      <c r="F255" s="10"/>
      <c r="G255" s="18"/>
      <c r="H255" s="18" t="str">
        <f>IFERROR(__xludf.DUMMYFUNCTION("AI(""Introduce un valor adecuado para esta celda según el contexto de la tabla"")"),"Químicos")</f>
        <v>Químicos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33" t="s">
        <v>32</v>
      </c>
      <c r="B256" s="84" t="s">
        <v>598</v>
      </c>
      <c r="C256" s="34" t="s">
        <v>580</v>
      </c>
      <c r="D256" s="18"/>
      <c r="E256" s="10"/>
      <c r="F256" s="10"/>
      <c r="G256" s="18"/>
      <c r="H256" s="18" t="str">
        <f>IFERROR(__xludf.DUMMYFUNCTION("AI(""Introduce un valor adecuado para esta celda según el contexto de la tabla"")"),"Productos de Limpieza")</f>
        <v>Productos de Limpieza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33" t="s">
        <v>32</v>
      </c>
      <c r="B257" s="84" t="s">
        <v>600</v>
      </c>
      <c r="C257" s="34" t="s">
        <v>601</v>
      </c>
      <c r="D257" s="18"/>
      <c r="E257" s="10"/>
      <c r="F257" s="10"/>
      <c r="G257" s="18"/>
      <c r="H257" s="38" t="s">
        <v>498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33" t="s">
        <v>32</v>
      </c>
      <c r="B258" s="84" t="s">
        <v>602</v>
      </c>
      <c r="C258" s="34" t="s">
        <v>601</v>
      </c>
      <c r="D258" s="18"/>
      <c r="E258" s="10"/>
      <c r="F258" s="10"/>
      <c r="G258" s="18"/>
      <c r="H258" s="38" t="s">
        <v>498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33" t="s">
        <v>32</v>
      </c>
      <c r="B259" s="84" t="s">
        <v>604</v>
      </c>
      <c r="C259" s="34" t="s">
        <v>605</v>
      </c>
      <c r="D259" s="18"/>
      <c r="E259" s="10"/>
      <c r="F259" s="10"/>
      <c r="G259" s="18"/>
      <c r="H259" s="38" t="s">
        <v>498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33" t="s">
        <v>32</v>
      </c>
      <c r="B260" s="84" t="s">
        <v>607</v>
      </c>
      <c r="C260" s="34" t="s">
        <v>608</v>
      </c>
      <c r="D260" s="18"/>
      <c r="E260" s="10"/>
      <c r="F260" s="10"/>
      <c r="G260" s="18"/>
      <c r="H260" s="38" t="s">
        <v>498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33" t="s">
        <v>32</v>
      </c>
      <c r="B261" s="84" t="s">
        <v>609</v>
      </c>
      <c r="C261" s="34" t="s">
        <v>608</v>
      </c>
      <c r="D261" s="18"/>
      <c r="E261" s="10"/>
      <c r="F261" s="10"/>
      <c r="G261" s="18"/>
      <c r="H261" s="18" t="str">
        <f>IFERROR(__xludf.DUMMYFUNCTION("AI(""Introduce un valor adecuado para esta celda según el contexto de la tabla"")"),"Productos de Limpieza / Químicos")</f>
        <v>Productos de Limpieza / Químicos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2" t="s">
        <v>610</v>
      </c>
      <c r="B262" s="84" t="s">
        <v>611</v>
      </c>
      <c r="C262" s="34" t="s">
        <v>612</v>
      </c>
      <c r="D262" s="18"/>
      <c r="E262" s="10"/>
      <c r="F262" s="10"/>
      <c r="G262" s="18"/>
      <c r="H262" s="18" t="str">
        <f>IFERROR(__xludf.DUMMYFUNCTION("AI(""Introduce un valor adecuado para esta celda según el contexto de la tabla"")"),"Químicos")</f>
        <v>Químicos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2" t="s">
        <v>614</v>
      </c>
      <c r="B263" s="84" t="s">
        <v>615</v>
      </c>
      <c r="C263" s="34" t="s">
        <v>612</v>
      </c>
      <c r="D263" s="18"/>
      <c r="E263" s="10"/>
      <c r="F263" s="10"/>
      <c r="G263" s="18"/>
      <c r="H263" s="18" t="str">
        <f>IFERROR(__xludf.DUMMYFUNCTION("AI(""Introduce un valor adecuado para esta celda según el contexto de la tabla"")"),"Multiusos / Lubricantes")</f>
        <v>Multiusos / Lubricantes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1" t="s">
        <v>616</v>
      </c>
      <c r="B264" s="84" t="s">
        <v>618</v>
      </c>
      <c r="C264" s="34" t="s">
        <v>619</v>
      </c>
      <c r="D264" s="18"/>
      <c r="E264" s="10"/>
      <c r="F264" s="10"/>
      <c r="G264" s="18"/>
      <c r="H264" s="38" t="s">
        <v>572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1" t="s">
        <v>620</v>
      </c>
      <c r="B265" s="84" t="s">
        <v>621</v>
      </c>
      <c r="C265" s="34" t="s">
        <v>619</v>
      </c>
      <c r="D265" s="18"/>
      <c r="E265" s="10"/>
      <c r="F265" s="10"/>
      <c r="G265" s="18"/>
      <c r="H265" s="38" t="s">
        <v>572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1" t="s">
        <v>622</v>
      </c>
      <c r="B266" s="84" t="s">
        <v>623</v>
      </c>
      <c r="C266" s="34" t="s">
        <v>624</v>
      </c>
      <c r="D266" s="18"/>
      <c r="E266" s="10"/>
      <c r="F266" s="10"/>
      <c r="G266" s="18"/>
      <c r="H266" s="18" t="str">
        <f>IFERROR(__xludf.DUMMYFUNCTION("AI(""Introduce un valor adecuado para esta celda según el contexto de la tabla"")"),"Químicos")</f>
        <v>Químicos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1"/>
      <c r="B267" s="84"/>
      <c r="C267" s="34"/>
      <c r="D267" s="18"/>
      <c r="E267" s="10"/>
      <c r="F267" s="10"/>
      <c r="G267" s="18"/>
      <c r="H267" s="18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78" t="s">
        <v>626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2" t="s">
        <v>628</v>
      </c>
      <c r="B269" s="84" t="s">
        <v>215</v>
      </c>
      <c r="C269" s="48" t="str">
        <f>IFERROR(__xludf.DUMMYFUNCTION("AI(""pon la marca de cada producto de 236b;253b"")"),"SQ")</f>
        <v>SQ</v>
      </c>
      <c r="D269" s="18"/>
      <c r="E269" s="10"/>
      <c r="F269" s="10"/>
      <c r="G269" s="18"/>
      <c r="H269" s="29" t="str">
        <f>IFERROR(__xludf.DUMMYFUNCTION("AI(""Introduce un valor adecuado para esta celda según el contexto de la tabla"")"),"Multiusos / Lubricantes")</f>
        <v>Multiusos / Lubricantes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33" t="s">
        <v>32</v>
      </c>
      <c r="B270" s="84" t="s">
        <v>248</v>
      </c>
      <c r="C270" s="48" t="str">
        <f>IFERROR(__xludf.DUMMYFUNCTION("AI(""pon la marca de cada producto y escribelo en mayucula de 236b;253b"")"),"PERMATEX")</f>
        <v>PERMATEX</v>
      </c>
      <c r="D270" s="18"/>
      <c r="E270" s="10"/>
      <c r="F270" s="10"/>
      <c r="G270" s="18"/>
      <c r="H270" s="39" t="s">
        <v>629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33" t="s">
        <v>32</v>
      </c>
      <c r="B271" s="84" t="s">
        <v>254</v>
      </c>
      <c r="C271" s="48" t="str">
        <f>IFERROR(__xludf.DUMMYFUNCTION("AI(""pon la marca de cada producto de 236b;253b"")"),"Q7")</f>
        <v>Q7</v>
      </c>
      <c r="D271" s="18"/>
      <c r="E271" s="10"/>
      <c r="F271" s="10"/>
      <c r="G271" s="18"/>
      <c r="H271" s="39" t="s">
        <v>629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33" t="s">
        <v>32</v>
      </c>
      <c r="B272" s="84" t="s">
        <v>631</v>
      </c>
      <c r="C272" s="48" t="str">
        <f>IFERROR(__xludf.DUMMYFUNCTION("AI(""pon la marca de cada producto de 236b;253b"")"),"INGRALUB")</f>
        <v>INGRALUB</v>
      </c>
      <c r="D272" s="18"/>
      <c r="E272" s="10"/>
      <c r="F272" s="10"/>
      <c r="G272" s="18"/>
      <c r="H272" s="39" t="s">
        <v>629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33" t="s">
        <v>32</v>
      </c>
      <c r="B273" s="84" t="s">
        <v>485</v>
      </c>
      <c r="C273" s="48" t="str">
        <f>IFERROR(__xludf.DUMMYFUNCTION("AI(""pon la marca de cada producto de 236b;253b"")"),"INGRALUB")</f>
        <v>INGRALUB</v>
      </c>
      <c r="D273" s="18"/>
      <c r="E273" s="10"/>
      <c r="F273" s="10"/>
      <c r="G273" s="18"/>
      <c r="H273" s="39" t="s">
        <v>629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33" t="s">
        <v>32</v>
      </c>
      <c r="B274" s="84" t="s">
        <v>490</v>
      </c>
      <c r="C274" s="48" t="str">
        <f>IFERROR(__xludf.DUMMYFUNCTION("AI(""pon la marca de cada producto de 236b;253b"")"),"INGRALUB")</f>
        <v>INGRALUB</v>
      </c>
      <c r="D274" s="18"/>
      <c r="E274" s="10"/>
      <c r="F274" s="10"/>
      <c r="G274" s="18"/>
      <c r="H274" s="29" t="str">
        <f>IFERROR(__xludf.DUMMYFUNCTION("AI(""Introduce un valor adecuado para esta celda según el contexto de la tabla"")"),"Multiusos / Lubricantes")</f>
        <v>Multiusos / Lubricantes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33" t="s">
        <v>32</v>
      </c>
      <c r="B275" s="84" t="s">
        <v>493</v>
      </c>
      <c r="C275" s="48" t="str">
        <f>IFERROR(__xludf.DUMMYFUNCTION("AI(""pon la marca de cada producto de 236b;253b"")"),"CROIX")</f>
        <v>CROIX</v>
      </c>
      <c r="D275" s="18"/>
      <c r="E275" s="10"/>
      <c r="F275" s="10"/>
      <c r="G275" s="18"/>
      <c r="H275" s="29" t="str">
        <f>IFERROR(__xludf.DUMMYFUNCTION("AI(""Introduce un valor adecuado para esta celda según el contexto de la tabla"")"),"Multiusos / Lubricantes")</f>
        <v>Multiusos / Lubricantes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33" t="s">
        <v>32</v>
      </c>
      <c r="B276" s="84" t="s">
        <v>496</v>
      </c>
      <c r="C276" s="48" t="str">
        <f>IFERROR(__xludf.DUMMYFUNCTION("AI(""pon la marca de cada producto de 236b;253b"")"),"ABRO")</f>
        <v>ABRO</v>
      </c>
      <c r="D276" s="18"/>
      <c r="E276" s="10"/>
      <c r="F276" s="10"/>
      <c r="G276" s="18"/>
      <c r="H276" s="29" t="str">
        <f>IFERROR(__xludf.DUMMYFUNCTION("AI(""Introduce un valor adecuado para esta celda según el contexto de la tabla"")"),"Multiusos / Lubricantes")</f>
        <v>Multiusos / Lubricantes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33" t="s">
        <v>32</v>
      </c>
      <c r="B277" s="84" t="s">
        <v>595</v>
      </c>
      <c r="C277" s="48" t="str">
        <f>IFERROR(__xludf.DUMMYFUNCTION("AI(""pon la marca de cada producto de 236b;253b"")"),"FLAMINGO")</f>
        <v>FLAMINGO</v>
      </c>
      <c r="D277" s="18"/>
      <c r="E277" s="10"/>
      <c r="F277" s="10"/>
      <c r="G277" s="18"/>
      <c r="H277" s="39" t="s">
        <v>629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33" t="s">
        <v>32</v>
      </c>
      <c r="B278" s="84" t="s">
        <v>634</v>
      </c>
      <c r="C278" s="48" t="str">
        <f>IFERROR(__xludf.DUMMYFUNCTION("AI(""pon la marca de cada producto de 236b;253b"")"),"TRATAUTO")</f>
        <v>TRATAUTO</v>
      </c>
      <c r="D278" s="18"/>
      <c r="E278" s="10"/>
      <c r="F278" s="10"/>
      <c r="G278" s="18"/>
      <c r="H278" s="39" t="s">
        <v>629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33" t="s">
        <v>32</v>
      </c>
      <c r="B279" s="84" t="s">
        <v>635</v>
      </c>
      <c r="C279" s="48" t="str">
        <f>IFERROR(__xludf.DUMMYFUNCTION("AI(""pon la marca de cada producto de 236b;253b"")"),"TRATAUTO")</f>
        <v>TRATAUTO</v>
      </c>
      <c r="D279" s="18"/>
      <c r="E279" s="10"/>
      <c r="F279" s="10"/>
      <c r="G279" s="18"/>
      <c r="H279" s="39" t="s">
        <v>629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33" t="s">
        <v>32</v>
      </c>
      <c r="B280" s="84" t="s">
        <v>637</v>
      </c>
      <c r="C280" s="48" t="str">
        <f>IFERROR(__xludf.DUMMYFUNCTION("AI(""pon la marca de cada producto de 236b;253b"")"),"PERMATEX")</f>
        <v>PERMATEX</v>
      </c>
      <c r="D280" s="18"/>
      <c r="E280" s="10"/>
      <c r="F280" s="10"/>
      <c r="G280" s="18"/>
      <c r="H280" s="39" t="s">
        <v>629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33" t="s">
        <v>32</v>
      </c>
      <c r="B281" s="84" t="s">
        <v>638</v>
      </c>
      <c r="C281" s="48" t="str">
        <f>IFERROR(__xludf.DUMMYFUNCTION("AI(""pon la marca de cada producto de 236b;253b"")"),"PERMATEX")</f>
        <v>PERMATEX</v>
      </c>
      <c r="D281" s="18"/>
      <c r="E281" s="10"/>
      <c r="F281" s="10"/>
      <c r="G281" s="18"/>
      <c r="H281" s="39" t="s">
        <v>629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33" t="s">
        <v>32</v>
      </c>
      <c r="B282" s="84" t="s">
        <v>640</v>
      </c>
      <c r="C282" s="48" t="str">
        <f>IFERROR(__xludf.DUMMYFUNCTION("AI(""pon la marca de cada producto de 236b;253b"")"),"PERMATEX")</f>
        <v>PERMATEX</v>
      </c>
      <c r="D282" s="18"/>
      <c r="E282" s="10"/>
      <c r="F282" s="10"/>
      <c r="G282" s="18"/>
      <c r="H282" s="39" t="s">
        <v>629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33" t="s">
        <v>32</v>
      </c>
      <c r="B283" s="84" t="s">
        <v>642</v>
      </c>
      <c r="C283" s="48" t="str">
        <f>IFERROR(__xludf.DUMMYFUNCTION("AI(""pon la marca de cada producto de 236b;253b"")"),"PERMATEX")</f>
        <v>PERMATEX</v>
      </c>
      <c r="D283" s="18"/>
      <c r="E283" s="10"/>
      <c r="F283" s="10"/>
      <c r="G283" s="18"/>
      <c r="H283" s="39" t="s">
        <v>629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33" t="s">
        <v>32</v>
      </c>
      <c r="B284" s="84" t="s">
        <v>643</v>
      </c>
      <c r="C284" s="48" t="str">
        <f>IFERROR(__xludf.DUMMYFUNCTION("AI(""pon la marca de cada producto de 236b;253b"")"),"PERMATEX")</f>
        <v>PERMATEX</v>
      </c>
      <c r="D284" s="18"/>
      <c r="E284" s="10"/>
      <c r="F284" s="10"/>
      <c r="G284" s="18"/>
      <c r="H284" s="39" t="s">
        <v>629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33" t="s">
        <v>32</v>
      </c>
      <c r="B285" s="84" t="s">
        <v>645</v>
      </c>
      <c r="C285" s="48" t="str">
        <f>IFERROR(__xludf.DUMMYFUNCTION("AI(""pon la marca de cada producto de 236b;253b"")"),"PEGA LOKA")</f>
        <v>PEGA LOKA</v>
      </c>
      <c r="D285" s="18"/>
      <c r="E285" s="10"/>
      <c r="F285" s="10"/>
      <c r="G285" s="18"/>
      <c r="H285" s="38" t="s">
        <v>498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33" t="s">
        <v>32</v>
      </c>
      <c r="B286" s="84" t="s">
        <v>646</v>
      </c>
      <c r="C286" s="48" t="str">
        <f>IFERROR(__xludf.DUMMYFUNCTION("AI(""pon la marca de cada producto y escribelo en mayucula de 236b;253b"")"),"VERSACHEM")</f>
        <v>VERSACHEM</v>
      </c>
      <c r="D286" s="18"/>
      <c r="E286" s="10"/>
      <c r="F286" s="10"/>
      <c r="G286" s="18"/>
      <c r="H286" s="39" t="s">
        <v>629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78" t="s">
        <v>648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2" t="s">
        <v>649</v>
      </c>
      <c r="B288" s="84" t="s">
        <v>651</v>
      </c>
      <c r="C288" s="48" t="str">
        <f>IFERROR(__xludf.DUMMYFUNCTION("AI(""Introduce un valor adecuado para esta celda según el contexto de la tabla"")"),"TOYOTA")</f>
        <v>TOYOTA</v>
      </c>
      <c r="D288" s="38">
        <v>3.0</v>
      </c>
      <c r="E288" s="10"/>
      <c r="F288" s="10"/>
      <c r="G288" s="38">
        <v>35.0</v>
      </c>
      <c r="H288" s="18" t="str">
        <f>IFERROR(__xludf.DUMMYFUNCTION("AI(""Introduce un valor adecuado para esta celda según el contexto de la tabla"")"),"Frenos / Ligas")</f>
        <v>Frenos / Ligas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2" t="s">
        <v>652</v>
      </c>
      <c r="B289" s="84" t="s">
        <v>373</v>
      </c>
      <c r="C289" s="48" t="str">
        <f>IFERROR(__xludf.DUMMYFUNCTION("AI(""Introduce un valor adecuado para esta celda según el contexto de la tabla"")"),"TOYOTA")</f>
        <v>TOYOTA</v>
      </c>
      <c r="D289" s="38">
        <v>8.0</v>
      </c>
      <c r="E289" s="10"/>
      <c r="F289" s="10"/>
      <c r="G289" s="38">
        <v>30.0</v>
      </c>
      <c r="H289" s="18" t="str">
        <f>IFERROR(__xludf.DUMMYFUNCTION("AI(""Introduce un valor adecuado para esta celda según el contexto de la tabla"")"),"Frenos (Pastillas y Ligas)")</f>
        <v>Frenos (Pastillas y Ligas)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2" t="s">
        <v>654</v>
      </c>
      <c r="B290" s="84" t="s">
        <v>378</v>
      </c>
      <c r="C290" s="48" t="str">
        <f>IFERROR(__xludf.DUMMYFUNCTION("AI(""Introduce un valor adecuado para esta celda según el contexto de la tabla"")"),"ANKOR")</f>
        <v>ANKOR</v>
      </c>
      <c r="D290" s="38">
        <v>1.0</v>
      </c>
      <c r="E290" s="10"/>
      <c r="F290" s="10"/>
      <c r="G290" s="38">
        <v>30.0</v>
      </c>
      <c r="H290" s="18" t="str">
        <f>IFERROR(__xludf.DUMMYFUNCTION("AI(""Introduce un valor adecuado para esta celda según el contexto de la tabla"")"),"Frenos (Pastillas y Ligas)")</f>
        <v>Frenos (Pastillas y Ligas)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2" t="s">
        <v>656</v>
      </c>
      <c r="B291" s="84" t="s">
        <v>657</v>
      </c>
      <c r="C291" s="48" t="str">
        <f>IFERROR(__xludf.DUMMYFUNCTION("AI(""Introduce un valor adecuado para esta celda según el contexto de la tabla"")"),"ARTI BRAKE")</f>
        <v>ARTI BRAKE</v>
      </c>
      <c r="D291" s="38">
        <v>1.0</v>
      </c>
      <c r="E291" s="10"/>
      <c r="F291" s="10"/>
      <c r="G291" s="38">
        <v>30.0</v>
      </c>
      <c r="H291" s="18" t="str">
        <f>IFERROR(__xludf.DUMMYFUNCTION("AI(""Introduce un valor adecuado para esta celda según el contexto de la tabla"")"),"Frenos / Pastillas")</f>
        <v>Frenos / Pastillas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2" t="s">
        <v>658</v>
      </c>
      <c r="B292" s="84" t="s">
        <v>387</v>
      </c>
      <c r="C292" s="48" t="str">
        <f>IFERROR(__xludf.DUMMYFUNCTION("AI(""Introduce un valor adecuado para esta celda según el contexto de la tabla"")"),"TSUKASA")</f>
        <v>TSUKASA</v>
      </c>
      <c r="D292" s="38">
        <v>1.0</v>
      </c>
      <c r="E292" s="10"/>
      <c r="F292" s="10"/>
      <c r="G292" s="38">
        <v>30.0</v>
      </c>
      <c r="H292" s="18" t="str">
        <f>IFERROR(__xludf.DUMMYFUNCTION("AI(""Introduce un valor adecuado para esta celda según el contexto de la tabla"")"),"Frenos / Pastillas")</f>
        <v>Frenos / Pastillas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2" t="s">
        <v>660</v>
      </c>
      <c r="B293" s="84" t="s">
        <v>389</v>
      </c>
      <c r="C293" s="48" t="str">
        <f>IFERROR(__xludf.DUMMYFUNCTION("AI(""Introduce un valor adecuado para esta celda según el contexto de la tabla"")"),"Q-BRAKE")</f>
        <v>Q-BRAKE</v>
      </c>
      <c r="D293" s="38">
        <v>1.0</v>
      </c>
      <c r="E293" s="10"/>
      <c r="F293" s="10"/>
      <c r="G293" s="38">
        <v>25.0</v>
      </c>
      <c r="H293" s="18" t="str">
        <f>IFERROR(__xludf.DUMMYFUNCTION("AI(""Introduce un valor adecuado para esta celda según el contexto de la tabla"")"),"Frenos / Pastillas")</f>
        <v>Frenos / Pastillas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2" t="s">
        <v>662</v>
      </c>
      <c r="B294" s="84" t="s">
        <v>392</v>
      </c>
      <c r="C294" s="48" t="str">
        <f>IFERROR(__xludf.DUMMYFUNCTION("AI(""Introduce un valor adecuado para esta celda según el contexto de la tabla"")"),"Q-BRAKE")</f>
        <v>Q-BRAKE</v>
      </c>
      <c r="D294" s="38">
        <v>1.0</v>
      </c>
      <c r="E294" s="10"/>
      <c r="F294" s="10"/>
      <c r="G294" s="38">
        <v>25.0</v>
      </c>
      <c r="H294" s="18" t="str">
        <f>IFERROR(__xludf.DUMMYFUNCTION("AI(""Introduce un valor adecuado para esta celda según el contexto de la tabla"")"),"Frenos / Pastillas y Ligas")</f>
        <v>Frenos / Pastillas y Ligas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2" t="s">
        <v>663</v>
      </c>
      <c r="B295" s="84" t="s">
        <v>396</v>
      </c>
      <c r="C295" s="48" t="str">
        <f>IFERROR(__xludf.DUMMYFUNCTION("AI(""Introduce un valor adecuado para esta celda según el contexto de la tabla"")"),"Q-BRAKE")</f>
        <v>Q-BRAKE</v>
      </c>
      <c r="D295" s="38">
        <v>2.0</v>
      </c>
      <c r="E295" s="10"/>
      <c r="F295" s="10"/>
      <c r="G295" s="38">
        <v>25.0</v>
      </c>
      <c r="H295" s="18" t="str">
        <f>IFERROR(__xludf.DUMMYFUNCTION("AI(""Introduce un valor adecuado para esta celda según el contexto de la tabla"")"),"Frenos (Pastillas y Ligas)")</f>
        <v>Frenos (Pastillas y Ligas)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5" t="s">
        <v>664</v>
      </c>
      <c r="B296" s="106" t="s">
        <v>665</v>
      </c>
      <c r="C296" s="107" t="str">
        <f>IFERROR(__xludf.DUMMYFUNCTION("AI(""Introduce un valor adecuado para esta celda según el contexto de la tabla"")"),"VF")</f>
        <v>VF</v>
      </c>
      <c r="D296" s="108">
        <v>9.0</v>
      </c>
      <c r="E296" s="8"/>
      <c r="F296" s="8"/>
      <c r="G296" s="108">
        <v>6.0</v>
      </c>
      <c r="H296" s="109" t="str">
        <f>IFERROR(__xludf.DUMMYFUNCTION("AI(""Introduce un valor adecuado para esta celda según el contexto de la tabla"")"),"Frenos / Ligas")</f>
        <v>Frenos / Ligas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33" t="s">
        <v>32</v>
      </c>
      <c r="B297" s="84" t="s">
        <v>499</v>
      </c>
      <c r="C297" s="48" t="str">
        <f>IFERROR(__xludf.DUMMYFUNCTION("AI(""Introduce un valor adecuado para esta celda según el contexto de la tabla"")"),"H&amp;H")</f>
        <v>H&amp;H</v>
      </c>
      <c r="D297" s="18"/>
      <c r="E297" s="10"/>
      <c r="F297" s="10"/>
      <c r="G297" s="18"/>
      <c r="H297" s="18" t="str">
        <f>IFERROR(__xludf.DUMMYFUNCTION("AI(""Introduce un valor adecuado para esta celda según el contexto de la tabla"")"),"Frenos / Ligas")</f>
        <v>Frenos / Ligas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2" t="s">
        <v>667</v>
      </c>
      <c r="B298" s="84" t="s">
        <v>501</v>
      </c>
      <c r="C298" s="48" t="str">
        <f>IFERROR(__xludf.DUMMYFUNCTION("AI(""Introduce un valor adecuado para esta celda según el contexto de la tabla"")"),"H&amp;H")</f>
        <v>H&amp;H</v>
      </c>
      <c r="D298" s="38">
        <v>3.0</v>
      </c>
      <c r="E298" s="10"/>
      <c r="F298" s="10"/>
      <c r="G298" s="38">
        <v>6.0</v>
      </c>
      <c r="H298" s="18" t="str">
        <f>IFERROR(__xludf.DUMMYFUNCTION("AI(""Introduce un valor adecuado para esta celda según el contexto de la tabla"")"),"Frenos (Pastillas y Ligas)")</f>
        <v>Frenos (Pastillas y Ligas)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33" t="s">
        <v>32</v>
      </c>
      <c r="B299" s="84" t="s">
        <v>505</v>
      </c>
      <c r="C299" s="48" t="str">
        <f>IFERROR(__xludf.DUMMYFUNCTION("AI(""Introduce un valor adecuado para esta celda según el contexto de la tabla"")"),"H&amp;H")</f>
        <v>H&amp;H</v>
      </c>
      <c r="D299" s="18"/>
      <c r="E299" s="10"/>
      <c r="F299" s="10"/>
      <c r="G299" s="18"/>
      <c r="H299" s="18" t="str">
        <f>IFERROR(__xludf.DUMMYFUNCTION("AI(""Introduce un valor adecuado para esta celda según el contexto de la tabla"")"),"Frenos / Pastillas y Ligas")</f>
        <v>Frenos / Pastillas y Ligas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2" t="s">
        <v>668</v>
      </c>
      <c r="B300" s="84" t="s">
        <v>669</v>
      </c>
      <c r="C300" s="48" t="str">
        <f>IFERROR(__xludf.DUMMYFUNCTION("AI(""Introduce un valor adecuado para esta celda según el contexto de la tabla"")"),"H&amp;H")</f>
        <v>H&amp;H</v>
      </c>
      <c r="D300" s="38">
        <v>11.0</v>
      </c>
      <c r="E300" s="10"/>
      <c r="F300" s="10"/>
      <c r="G300" s="38">
        <v>3.0</v>
      </c>
      <c r="H300" s="18" t="str">
        <f>IFERROR(__xludf.DUMMYFUNCTION("AI(""Introduce un valor adecuado para esta celda según el contexto de la tabla"")"),"Frenos / Pastillas y Ligas")</f>
        <v>Frenos / Pastillas y Ligas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33" t="s">
        <v>32</v>
      </c>
      <c r="B301" s="84" t="s">
        <v>507</v>
      </c>
      <c r="C301" s="48" t="str">
        <f>IFERROR(__xludf.DUMMYFUNCTION("AI(""Introduce un valor adecuado para esta celda según el contexto de la tabla"")"),"HYBRID")</f>
        <v>HYBRID</v>
      </c>
      <c r="D301" s="18"/>
      <c r="E301" s="10"/>
      <c r="F301" s="10"/>
      <c r="G301" s="18"/>
      <c r="H301" s="18" t="str">
        <f>IFERROR(__xludf.DUMMYFUNCTION("AI(""Introduce un valor adecuado para esta celda según el contexto de la tabla"")"),"Frenos (Pastillas y Ligas)")</f>
        <v>Frenos (Pastillas y Ligas)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33" t="s">
        <v>32</v>
      </c>
      <c r="B302" s="84" t="s">
        <v>510</v>
      </c>
      <c r="C302" s="48" t="str">
        <f>IFERROR(__xludf.DUMMYFUNCTION("AI(""Introduce un valor adecuado para esta celda según el contexto de la tabla"")"),"BETA")</f>
        <v>BETA</v>
      </c>
      <c r="D302" s="18"/>
      <c r="E302" s="10"/>
      <c r="F302" s="10"/>
      <c r="G302" s="18"/>
      <c r="H302" s="18" t="str">
        <f>IFERROR(__xludf.DUMMYFUNCTION("AI(""Introduce un valor adecuado para esta celda según el contexto de la tabla"")"),"Frenos (Pastillas y Ligas)")</f>
        <v>Frenos (Pastillas y Ligas)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2" t="s">
        <v>670</v>
      </c>
      <c r="B303" s="84" t="s">
        <v>522</v>
      </c>
      <c r="C303" s="48" t="str">
        <f>IFERROR(__xludf.DUMMYFUNCTION("AI(""Introduce un valor adecuado para esta celda según el contexto de la tabla"")"),"AKSU")</f>
        <v>AKSU</v>
      </c>
      <c r="D303" s="38">
        <v>1.0</v>
      </c>
      <c r="E303" s="10"/>
      <c r="F303" s="10"/>
      <c r="G303" s="38">
        <v>13.0</v>
      </c>
      <c r="H303" s="18" t="str">
        <f>IFERROR(__xludf.DUMMYFUNCTION("AI(""Introduce un valor adecuado para esta celda según el contexto de la tabla"")"),"Frenos / Ligas")</f>
        <v>Frenos / Ligas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33" t="s">
        <v>32</v>
      </c>
      <c r="B304" s="84" t="s">
        <v>517</v>
      </c>
      <c r="C304" s="48" t="str">
        <f>IFERROR(__xludf.DUMMYFUNCTION("AI(""Introduce un valor adecuado para esta celda según el contexto de la tabla"")"),"H&amp;H")</f>
        <v>H&amp;H</v>
      </c>
      <c r="D304" s="18"/>
      <c r="E304" s="10"/>
      <c r="F304" s="10"/>
      <c r="G304" s="18"/>
      <c r="H304" s="18" t="str">
        <f>IFERROR(__xludf.DUMMYFUNCTION("AI(""Introduce un valor adecuado para esta celda según el contexto de la tabla"")"),"Frenos / Ligas")</f>
        <v>Frenos / Ligas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5" t="s">
        <v>671</v>
      </c>
      <c r="B305" s="106" t="s">
        <v>672</v>
      </c>
      <c r="C305" s="107" t="str">
        <f>IFERROR(__xludf.DUMMYFUNCTION("AI(""Introduce un valor adecuado para esta celda según el contexto de la tabla"")"),"AKSU")</f>
        <v>AKSU</v>
      </c>
      <c r="D305" s="108">
        <v>1.0</v>
      </c>
      <c r="E305" s="8"/>
      <c r="F305" s="8"/>
      <c r="G305" s="111">
        <v>13.0</v>
      </c>
      <c r="H305" s="109" t="str">
        <f>IFERROR(__xludf.DUMMYFUNCTION("AI(""Introduce un valor adecuado para esta celda según el contexto de la tabla"")"),"Frenos / Ligas")</f>
        <v>Frenos / Ligas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33" t="s">
        <v>32</v>
      </c>
      <c r="B306" s="84" t="s">
        <v>673</v>
      </c>
      <c r="C306" s="48" t="str">
        <f>IFERROR(__xludf.DUMMYFUNCTION("AI(""Introduce un valor adecuado para esta celda según el contexto de la tabla"")"),"MARUSSI")</f>
        <v>MARUSSI</v>
      </c>
      <c r="D306" s="38">
        <v>11.0</v>
      </c>
      <c r="E306" s="10"/>
      <c r="F306" s="10"/>
      <c r="G306" s="38">
        <v>6.0</v>
      </c>
      <c r="H306" s="18" t="str">
        <f>IFERROR(__xludf.DUMMYFUNCTION("AI(""Introduce un valor adecuado para esta celda según el contexto de la tabla"")"),"Frenos / Ligas")</f>
        <v>Frenos / Ligas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33" t="s">
        <v>32</v>
      </c>
      <c r="B307" s="84" t="s">
        <v>674</v>
      </c>
      <c r="C307" s="48" t="str">
        <f>IFERROR(__xludf.DUMMYFUNCTION("AI(""Introduce un valor adecuado para esta celda según el contexto de la tabla"")"),"MARUSSI")</f>
        <v>MARUSSI</v>
      </c>
      <c r="D307" s="38">
        <v>18.0</v>
      </c>
      <c r="E307" s="10"/>
      <c r="F307" s="10"/>
      <c r="G307" s="38">
        <v>8.0</v>
      </c>
      <c r="H307" s="18" t="str">
        <f>IFERROR(__xludf.DUMMYFUNCTION("AI(""Introduce un valor adecuado para esta celda según el contexto de la tabla"")"),"Frenos / Ligas")</f>
        <v>Frenos / Ligas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1" t="s">
        <v>675</v>
      </c>
      <c r="B308" s="84" t="s">
        <v>676</v>
      </c>
      <c r="C308" s="48" t="str">
        <f>IFERROR(__xludf.DUMMYFUNCTION("AI(""Introduce un valor adecuado para esta celda según el contexto de la tabla"")"),"MARUSSI")</f>
        <v>MARUSSI</v>
      </c>
      <c r="D308" s="38">
        <v>5.0</v>
      </c>
      <c r="E308" s="10"/>
      <c r="F308" s="10"/>
      <c r="G308" s="38">
        <v>13.0</v>
      </c>
      <c r="H308" s="18" t="str">
        <f>IFERROR(__xludf.DUMMYFUNCTION("AI(""Introduce un valor adecuado para esta celda según el contexto de la tabla"")"),"Frenos / Ligas")</f>
        <v>Frenos / Ligas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1" t="s">
        <v>677</v>
      </c>
      <c r="B309" s="84" t="s">
        <v>678</v>
      </c>
      <c r="C309" s="48" t="str">
        <f>IFERROR(__xludf.DUMMYFUNCTION("AI(""Introduce un valor adecuado para esta celda según el contexto de la tabla"")"),"MARUSSI")</f>
        <v>MARUSSI</v>
      </c>
      <c r="D309" s="38">
        <v>5.0</v>
      </c>
      <c r="E309" s="10"/>
      <c r="F309" s="10"/>
      <c r="G309" s="38">
        <v>13.0</v>
      </c>
      <c r="H309" s="18" t="str">
        <f>IFERROR(__xludf.DUMMYFUNCTION("AI(""Introduce un valor adecuado para esta celda según el contexto de la tabla"")"),"Frenos / Ligas")</f>
        <v>Frenos / Ligas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78" t="s">
        <v>679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2" t="s">
        <v>680</v>
      </c>
      <c r="B311" s="84" t="s">
        <v>681</v>
      </c>
      <c r="C311" s="48" t="str">
        <f>IFERROR(__xludf.DUMMYFUNCTION("AI(""Introduce un valor adecuado para esta celda según el contexto de la tabla"")"),"MILLARD")</f>
        <v>MILLARD</v>
      </c>
      <c r="D311" s="18"/>
      <c r="E311" s="10"/>
      <c r="F311" s="10"/>
      <c r="G311" s="18"/>
      <c r="H311" s="38" t="s">
        <v>682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2" t="s">
        <v>683</v>
      </c>
      <c r="B312" s="84" t="s">
        <v>684</v>
      </c>
      <c r="C312" s="48" t="str">
        <f>IFERROR(__xludf.DUMMYFUNCTION("AI(""Introduce un valor adecuado para esta celda según el contexto de la tabla"")"),"MILLARD")</f>
        <v>MILLARD</v>
      </c>
      <c r="D312" s="18"/>
      <c r="E312" s="10"/>
      <c r="F312" s="10"/>
      <c r="G312" s="18"/>
      <c r="H312" s="38" t="s">
        <v>682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2" t="s">
        <v>685</v>
      </c>
      <c r="B313" s="84" t="s">
        <v>686</v>
      </c>
      <c r="C313" s="48" t="str">
        <f>IFERROR(__xludf.DUMMYFUNCTION("AI(""Introduce un valor adecuado para esta celda según el contexto de la tabla"")"),"MILLARD")</f>
        <v>MILLARD</v>
      </c>
      <c r="D313" s="18"/>
      <c r="E313" s="10"/>
      <c r="F313" s="10"/>
      <c r="G313" s="18"/>
      <c r="H313" s="38" t="s">
        <v>682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33" t="s">
        <v>32</v>
      </c>
      <c r="B314" s="84" t="s">
        <v>688</v>
      </c>
      <c r="C314" s="48" t="str">
        <f>IFERROR(__xludf.DUMMYFUNCTION("AI(""Introduce un valor adecuado para esta celda según el contexto de la tabla"")"),"MILLARD")</f>
        <v>MILLARD</v>
      </c>
      <c r="D314" s="38">
        <v>0.0</v>
      </c>
      <c r="E314" s="10"/>
      <c r="F314" s="10"/>
      <c r="G314" s="18"/>
      <c r="H314" s="38" t="s">
        <v>682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33" t="s">
        <v>32</v>
      </c>
      <c r="B315" s="84" t="s">
        <v>690</v>
      </c>
      <c r="C315" s="48" t="str">
        <f>IFERROR(__xludf.DUMMYFUNCTION("AI(""Introduce un valor adecuado para esta celda según el contexto de la tabla"")"),"MILLARD")</f>
        <v>MILLARD</v>
      </c>
      <c r="D315" s="38">
        <v>0.0</v>
      </c>
      <c r="E315" s="10"/>
      <c r="F315" s="10"/>
      <c r="G315" s="18"/>
      <c r="H315" s="38" t="s">
        <v>682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2" t="s">
        <v>691</v>
      </c>
      <c r="B316" s="84" t="s">
        <v>692</v>
      </c>
      <c r="C316" s="48" t="str">
        <f>IFERROR(__xludf.DUMMYFUNCTION("AI(""Introduce un valor adecuado para esta celda según el contexto de la tabla"")"),"MILLARD")</f>
        <v>MILLARD</v>
      </c>
      <c r="D316" s="18"/>
      <c r="E316" s="10"/>
      <c r="F316" s="10"/>
      <c r="G316" s="18"/>
      <c r="H316" s="38" t="s">
        <v>682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33" t="s">
        <v>32</v>
      </c>
      <c r="B317" s="84" t="s">
        <v>694</v>
      </c>
      <c r="C317" s="48" t="str">
        <f>IFERROR(__xludf.DUMMYFUNCTION("AI(""Introduce un valor adecuado para esta celda según el contexto de la tabla"")"),"MILLARD")</f>
        <v>MILLARD</v>
      </c>
      <c r="D317" s="38">
        <v>0.0</v>
      </c>
      <c r="E317" s="10"/>
      <c r="F317" s="10"/>
      <c r="G317" s="18"/>
      <c r="H317" s="38" t="s">
        <v>682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33" t="s">
        <v>32</v>
      </c>
      <c r="B318" s="84" t="s">
        <v>695</v>
      </c>
      <c r="C318" s="48" t="str">
        <f>IFERROR(__xludf.DUMMYFUNCTION("AI(""Introduce un valor adecuado para esta celda según el contexto de la tabla"")"),"MILLARD")</f>
        <v>MILLARD</v>
      </c>
      <c r="D318" s="38">
        <v>0.0</v>
      </c>
      <c r="E318" s="10"/>
      <c r="F318" s="10"/>
      <c r="G318" s="18"/>
      <c r="H318" s="38" t="s">
        <v>682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33" t="s">
        <v>32</v>
      </c>
      <c r="B319" s="84" t="s">
        <v>697</v>
      </c>
      <c r="C319" s="48" t="str">
        <f>IFERROR(__xludf.DUMMYFUNCTION("AI(""Introduce un valor adecuado para esta celda según el contexto de la tabla"")"),"MILLARD")</f>
        <v>MILLARD</v>
      </c>
      <c r="D319" s="38">
        <v>0.0</v>
      </c>
      <c r="E319" s="10"/>
      <c r="F319" s="10"/>
      <c r="G319" s="18"/>
      <c r="H319" s="38" t="s">
        <v>682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2" t="s">
        <v>698</v>
      </c>
      <c r="B320" s="84" t="s">
        <v>699</v>
      </c>
      <c r="C320" s="48" t="str">
        <f>IFERROR(__xludf.DUMMYFUNCTION("AI(""Introduce un valor adecuado para esta celda según el contexto de la tabla"")"),"MILLARD")</f>
        <v>MILLARD</v>
      </c>
      <c r="D320" s="18"/>
      <c r="E320" s="10"/>
      <c r="F320" s="10"/>
      <c r="G320" s="18"/>
      <c r="H320" s="38" t="s">
        <v>682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2" t="s">
        <v>701</v>
      </c>
      <c r="B321" s="84" t="s">
        <v>702</v>
      </c>
      <c r="C321" s="48" t="str">
        <f>IFERROR(__xludf.DUMMYFUNCTION("AI(""Introduce un valor adecuado para esta celda según el contexto de la tabla"")"),"MILLARD")</f>
        <v>MILLARD</v>
      </c>
      <c r="D321" s="18"/>
      <c r="E321" s="10"/>
      <c r="F321" s="10"/>
      <c r="G321" s="18"/>
      <c r="H321" s="38" t="s">
        <v>682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2" t="s">
        <v>704</v>
      </c>
      <c r="B322" s="84" t="s">
        <v>705</v>
      </c>
      <c r="C322" s="48" t="str">
        <f>IFERROR(__xludf.DUMMYFUNCTION("AI(""Introduce un valor adecuado para esta celda según el contexto de la tabla"")"),"MILLARD")</f>
        <v>MILLARD</v>
      </c>
      <c r="D322" s="18"/>
      <c r="E322" s="10"/>
      <c r="F322" s="10"/>
      <c r="G322" s="18"/>
      <c r="H322" s="38" t="s">
        <v>682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2" t="s">
        <v>706</v>
      </c>
      <c r="B323" s="84" t="s">
        <v>707</v>
      </c>
      <c r="C323" s="48" t="str">
        <f>IFERROR(__xludf.DUMMYFUNCTION("AI(""Introduce un valor adecuado para esta celda según el contexto de la tabla"")"),"MILLARD")</f>
        <v>MILLARD</v>
      </c>
      <c r="D323" s="18"/>
      <c r="E323" s="10"/>
      <c r="F323" s="10"/>
      <c r="G323" s="18"/>
      <c r="H323" s="38" t="s">
        <v>682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33" t="s">
        <v>32</v>
      </c>
      <c r="B324" s="84" t="s">
        <v>709</v>
      </c>
      <c r="C324" s="48" t="str">
        <f>IFERROR(__xludf.DUMMYFUNCTION("AI(""Introduce un valor adecuado para esta celda según el contexto de la tabla"")"),"MILLARD")</f>
        <v>MILLARD</v>
      </c>
      <c r="D324" s="38">
        <v>0.0</v>
      </c>
      <c r="E324" s="10"/>
      <c r="F324" s="10"/>
      <c r="G324" s="18"/>
      <c r="H324" s="38" t="s">
        <v>682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2" t="s">
        <v>710</v>
      </c>
      <c r="B325" s="84" t="s">
        <v>711</v>
      </c>
      <c r="C325" s="48" t="str">
        <f>IFERROR(__xludf.DUMMYFUNCTION("AI(""Introduce un valor adecuado para esta celda según el contexto de la tabla"")"),"MILLARD")</f>
        <v>MILLARD</v>
      </c>
      <c r="D325" s="18"/>
      <c r="E325" s="10"/>
      <c r="F325" s="10"/>
      <c r="G325" s="18"/>
      <c r="H325" s="38" t="s">
        <v>682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2" t="s">
        <v>713</v>
      </c>
      <c r="B326" s="84" t="s">
        <v>714</v>
      </c>
      <c r="C326" s="48" t="str">
        <f>IFERROR(__xludf.DUMMYFUNCTION("AI(""Introduce un valor adecuado para esta celda según el contexto de la tabla"")"),"MILLARD")</f>
        <v>MILLARD</v>
      </c>
      <c r="D326" s="18"/>
      <c r="E326" s="10"/>
      <c r="F326" s="10"/>
      <c r="G326" s="18"/>
      <c r="H326" s="38" t="s">
        <v>682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33" t="s">
        <v>32</v>
      </c>
      <c r="B327" s="84" t="s">
        <v>716</v>
      </c>
      <c r="C327" s="34" t="s">
        <v>717</v>
      </c>
      <c r="D327" s="38">
        <v>0.0</v>
      </c>
      <c r="E327" s="10"/>
      <c r="F327" s="10"/>
      <c r="G327" s="18"/>
      <c r="H327" s="38" t="s">
        <v>682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33" t="s">
        <v>32</v>
      </c>
      <c r="B328" s="84" t="s">
        <v>719</v>
      </c>
      <c r="C328" s="48" t="str">
        <f>IFERROR(__xludf.DUMMYFUNCTION("AI(""Introduce un valor adecuado para esta celda según el contexto de la tabla"")"),"MILLARD")</f>
        <v>MILLARD</v>
      </c>
      <c r="D328" s="38">
        <v>0.0</v>
      </c>
      <c r="E328" s="10"/>
      <c r="F328" s="10"/>
      <c r="G328" s="18"/>
      <c r="H328" s="38" t="s">
        <v>682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33" t="s">
        <v>32</v>
      </c>
      <c r="B329" s="84" t="s">
        <v>720</v>
      </c>
      <c r="C329" s="48" t="str">
        <f>IFERROR(__xludf.DUMMYFUNCTION("AI(""Introduce un valor adecuado para esta celda según el contexto de la tabla"")"),"MILLARD")</f>
        <v>MILLARD</v>
      </c>
      <c r="D329" s="38">
        <v>0.0</v>
      </c>
      <c r="E329" s="10"/>
      <c r="F329" s="10"/>
      <c r="G329" s="18"/>
      <c r="H329" s="38" t="s">
        <v>682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2" t="s">
        <v>722</v>
      </c>
      <c r="B330" s="84" t="s">
        <v>723</v>
      </c>
      <c r="C330" s="48" t="str">
        <f>IFERROR(__xludf.DUMMYFUNCTION("AI(""Introduce un valor adecuado para esta celda según el contexto de la tabla"")"),"MILLARD")</f>
        <v>MILLARD</v>
      </c>
      <c r="D330" s="18"/>
      <c r="E330" s="10"/>
      <c r="F330" s="10"/>
      <c r="G330" s="18"/>
      <c r="H330" s="38" t="s">
        <v>682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2" t="s">
        <v>724</v>
      </c>
      <c r="B331" s="84" t="s">
        <v>725</v>
      </c>
      <c r="C331" s="48" t="str">
        <f>IFERROR(__xludf.DUMMYFUNCTION("AI(""Introduce un valor adecuado para esta celda según el contexto de la tabla"")"),"MILLARD")</f>
        <v>MILLARD</v>
      </c>
      <c r="D331" s="18"/>
      <c r="E331" s="10"/>
      <c r="F331" s="10"/>
      <c r="G331" s="18"/>
      <c r="H331" s="38" t="s">
        <v>682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2" t="s">
        <v>727</v>
      </c>
      <c r="B332" s="84" t="s">
        <v>728</v>
      </c>
      <c r="C332" s="48" t="str">
        <f>IFERROR(__xludf.DUMMYFUNCTION("AI(""Introduce un valor adecuado para esta celda según el contexto de la tabla"")"),"MILLARD")</f>
        <v>MILLARD</v>
      </c>
      <c r="D332" s="18"/>
      <c r="E332" s="10"/>
      <c r="F332" s="10"/>
      <c r="G332" s="18"/>
      <c r="H332" s="38" t="s">
        <v>682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2" t="s">
        <v>730</v>
      </c>
      <c r="B333" s="84" t="s">
        <v>731</v>
      </c>
      <c r="C333" s="48" t="str">
        <f>IFERROR(__xludf.DUMMYFUNCTION("AI(""Introduce un valor adecuado para esta celda según el contexto de la tabla"")"),"MILLARD")</f>
        <v>MILLARD</v>
      </c>
      <c r="D333" s="18"/>
      <c r="E333" s="10"/>
      <c r="F333" s="10"/>
      <c r="G333" s="18"/>
      <c r="H333" s="38" t="s">
        <v>682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2" t="s">
        <v>732</v>
      </c>
      <c r="B334" s="84" t="s">
        <v>733</v>
      </c>
      <c r="C334" s="48" t="str">
        <f>IFERROR(__xludf.DUMMYFUNCTION("AI(""Introduce un valor adecuado para esta celda según el contexto de la tabla"")"),"MILLARD")</f>
        <v>MILLARD</v>
      </c>
      <c r="D334" s="18"/>
      <c r="E334" s="10"/>
      <c r="F334" s="10"/>
      <c r="G334" s="18"/>
      <c r="H334" s="38" t="s">
        <v>682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2" t="s">
        <v>735</v>
      </c>
      <c r="B335" s="84" t="s">
        <v>736</v>
      </c>
      <c r="C335" s="48" t="str">
        <f>IFERROR(__xludf.DUMMYFUNCTION("AI(""Introduce un valor adecuado para esta celda según el contexto de la tabla"")"),"MILLARD")</f>
        <v>MILLARD</v>
      </c>
      <c r="D335" s="18"/>
      <c r="E335" s="10"/>
      <c r="F335" s="10"/>
      <c r="G335" s="18"/>
      <c r="H335" s="38" t="s">
        <v>682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2" t="s">
        <v>737</v>
      </c>
      <c r="B336" s="84" t="s">
        <v>738</v>
      </c>
      <c r="C336" s="48" t="str">
        <f>IFERROR(__xludf.DUMMYFUNCTION("AI(""Introduce un valor adecuado para esta celda según el contexto de la tabla"")"),"MILLARD")</f>
        <v>MILLARD</v>
      </c>
      <c r="D336" s="38">
        <v>0.0</v>
      </c>
      <c r="E336" s="10"/>
      <c r="F336" s="10"/>
      <c r="G336" s="18"/>
      <c r="H336" s="38" t="s">
        <v>682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33" t="s">
        <v>32</v>
      </c>
      <c r="B337" s="84" t="s">
        <v>740</v>
      </c>
      <c r="C337" s="48" t="str">
        <f>IFERROR(__xludf.DUMMYFUNCTION("AI(""Introduce un valor adecuado para esta celda según el contexto de la tabla"")"),"MILLARD")</f>
        <v>MILLARD</v>
      </c>
      <c r="D337" s="38">
        <v>0.0</v>
      </c>
      <c r="E337" s="10"/>
      <c r="F337" s="10"/>
      <c r="G337" s="18"/>
      <c r="H337" s="38" t="s">
        <v>682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33" t="s">
        <v>32</v>
      </c>
      <c r="B338" s="84" t="s">
        <v>742</v>
      </c>
      <c r="C338" s="48" t="str">
        <f>IFERROR(__xludf.DUMMYFUNCTION("AI(""Introduce un valor adecuado para esta celda según el contexto de la tabla"")"),"MILLARD")</f>
        <v>MILLARD</v>
      </c>
      <c r="D338" s="38">
        <v>0.0</v>
      </c>
      <c r="E338" s="10"/>
      <c r="F338" s="10"/>
      <c r="G338" s="18"/>
      <c r="H338" s="38" t="s">
        <v>682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33" t="s">
        <v>32</v>
      </c>
      <c r="B339" s="84" t="s">
        <v>743</v>
      </c>
      <c r="C339" s="48" t="str">
        <f>IFERROR(__xludf.DUMMYFUNCTION("AI(""Introduce un valor adecuado para esta celda según el contexto de la tabla"")"),"MILLARD")</f>
        <v>MILLARD</v>
      </c>
      <c r="D339" s="38">
        <v>0.0</v>
      </c>
      <c r="E339" s="10"/>
      <c r="F339" s="10"/>
      <c r="G339" s="18"/>
      <c r="H339" s="38" t="s">
        <v>682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33" t="s">
        <v>32</v>
      </c>
      <c r="B340" s="84" t="s">
        <v>744</v>
      </c>
      <c r="C340" s="48" t="str">
        <f>IFERROR(__xludf.DUMMYFUNCTION("AI(""Introduce un valor adecuado para esta celda según el contexto de la tabla"")"),"MILLARD")</f>
        <v>MILLARD</v>
      </c>
      <c r="D340" s="38">
        <v>0.0</v>
      </c>
      <c r="E340" s="10"/>
      <c r="F340" s="10"/>
      <c r="G340" s="18"/>
      <c r="H340" s="38" t="s">
        <v>682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33" t="s">
        <v>32</v>
      </c>
      <c r="B341" s="84" t="s">
        <v>745</v>
      </c>
      <c r="C341" s="48" t="str">
        <f>IFERROR(__xludf.DUMMYFUNCTION("AI(""Introduce un valor adecuado para esta celda según el contexto de la tabla"")"),"MILLARD")</f>
        <v>MILLARD</v>
      </c>
      <c r="D341" s="38">
        <v>0.0</v>
      </c>
      <c r="E341" s="10"/>
      <c r="F341" s="10"/>
      <c r="G341" s="18"/>
      <c r="H341" s="38" t="s">
        <v>682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2" t="s">
        <v>746</v>
      </c>
      <c r="B342" s="84" t="s">
        <v>747</v>
      </c>
      <c r="C342" s="48" t="str">
        <f>IFERROR(__xludf.DUMMYFUNCTION("AI(""Introduce un valor adecuado para esta celda según el contexto de la tabla"")"),"MILLARD")</f>
        <v>MILLARD</v>
      </c>
      <c r="D342" s="18"/>
      <c r="E342" s="10"/>
      <c r="F342" s="10"/>
      <c r="G342" s="18"/>
      <c r="H342" s="38" t="s">
        <v>682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2" t="s">
        <v>749</v>
      </c>
      <c r="B343" s="84" t="s">
        <v>750</v>
      </c>
      <c r="C343" s="48" t="str">
        <f>IFERROR(__xludf.DUMMYFUNCTION("AI(""Introduce un valor adecuado para esta celda según el contexto de la tabla"")"),"MILLARD")</f>
        <v>MILLARD</v>
      </c>
      <c r="D343" s="18"/>
      <c r="E343" s="10"/>
      <c r="F343" s="10"/>
      <c r="G343" s="18"/>
      <c r="H343" s="38" t="s">
        <v>682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2" t="s">
        <v>751</v>
      </c>
      <c r="B344" s="84" t="s">
        <v>752</v>
      </c>
      <c r="C344" s="48" t="str">
        <f>IFERROR(__xludf.DUMMYFUNCTION("AI(""Introduce un valor adecuado para esta celda según el contexto de la tabla"")"),"MILLARD")</f>
        <v>MILLARD</v>
      </c>
      <c r="D344" s="18"/>
      <c r="E344" s="10"/>
      <c r="F344" s="10"/>
      <c r="G344" s="18"/>
      <c r="H344" s="38" t="s">
        <v>682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2" t="s">
        <v>753</v>
      </c>
      <c r="B345" s="84" t="s">
        <v>754</v>
      </c>
      <c r="C345" s="48" t="str">
        <f>IFERROR(__xludf.DUMMYFUNCTION("AI(""Introduce un valor adecuado para esta celda según el contexto de la tabla"")"),"MILLARD")</f>
        <v>MILLARD</v>
      </c>
      <c r="D345" s="18"/>
      <c r="E345" s="10"/>
      <c r="F345" s="10"/>
      <c r="G345" s="18"/>
      <c r="H345" s="38" t="s">
        <v>682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2" t="s">
        <v>756</v>
      </c>
      <c r="B346" s="84" t="s">
        <v>757</v>
      </c>
      <c r="C346" s="48" t="str">
        <f>IFERROR(__xludf.DUMMYFUNCTION("AI(""Introduce un valor adecuado para esta celda según el contexto de la tabla"")"),"MILLARD")</f>
        <v>MILLARD</v>
      </c>
      <c r="D346" s="18"/>
      <c r="E346" s="10"/>
      <c r="F346" s="10"/>
      <c r="G346" s="18"/>
      <c r="H346" s="38" t="s">
        <v>682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2" t="s">
        <v>759</v>
      </c>
      <c r="B347" s="84" t="s">
        <v>760</v>
      </c>
      <c r="C347" s="48" t="str">
        <f>IFERROR(__xludf.DUMMYFUNCTION("AI(""Introduce un valor adecuado para esta celda según el contexto de la tabla"")"),"MILLARD")</f>
        <v>MILLARD</v>
      </c>
      <c r="D347" s="18"/>
      <c r="E347" s="10"/>
      <c r="F347" s="10"/>
      <c r="G347" s="18"/>
      <c r="H347" s="38" t="s">
        <v>682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2" t="s">
        <v>761</v>
      </c>
      <c r="B348" s="84" t="s">
        <v>762</v>
      </c>
      <c r="C348" s="48" t="str">
        <f>IFERROR(__xludf.DUMMYFUNCTION("AI(""Introduce un valor adecuado para esta celda según el contexto de la tabla"")"),"MILLARD")</f>
        <v>MILLARD</v>
      </c>
      <c r="D348" s="18"/>
      <c r="E348" s="10"/>
      <c r="F348" s="10"/>
      <c r="G348" s="18"/>
      <c r="H348" s="38" t="s">
        <v>682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2" t="s">
        <v>764</v>
      </c>
      <c r="B349" s="84" t="s">
        <v>765</v>
      </c>
      <c r="C349" s="48" t="str">
        <f>IFERROR(__xludf.DUMMYFUNCTION("AI(""Introduce un valor adecuado para esta celda según el contexto de la tabla"")"),"MILLARD")</f>
        <v>MILLARD</v>
      </c>
      <c r="D349" s="18"/>
      <c r="E349" s="10"/>
      <c r="F349" s="10"/>
      <c r="G349" s="18"/>
      <c r="H349" s="38" t="s">
        <v>682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2" t="s">
        <v>766</v>
      </c>
      <c r="B350" s="84" t="s">
        <v>767</v>
      </c>
      <c r="C350" s="48" t="str">
        <f>IFERROR(__xludf.DUMMYFUNCTION("AI(""Introduce un valor adecuado para esta celda según el contexto de la tabla"")"),"MILLARD")</f>
        <v>MILLARD</v>
      </c>
      <c r="D350" s="18"/>
      <c r="E350" s="10"/>
      <c r="F350" s="10"/>
      <c r="G350" s="18"/>
      <c r="H350" s="38" t="s">
        <v>682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33" t="s">
        <v>32</v>
      </c>
      <c r="B351" s="84" t="s">
        <v>769</v>
      </c>
      <c r="C351" s="48" t="str">
        <f>IFERROR(__xludf.DUMMYFUNCTION("AI(""Introduce un valor adecuado para esta celda según el contexto de la tabla"")"),"MILLARD")</f>
        <v>MILLARD</v>
      </c>
      <c r="D351" s="38">
        <v>0.0</v>
      </c>
      <c r="E351" s="10"/>
      <c r="F351" s="10"/>
      <c r="G351" s="18"/>
      <c r="H351" s="38" t="s">
        <v>682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2" t="s">
        <v>771</v>
      </c>
      <c r="B352" s="84" t="s">
        <v>772</v>
      </c>
      <c r="C352" s="48" t="str">
        <f>IFERROR(__xludf.DUMMYFUNCTION("AI(""Introduce un valor adecuado para esta celda según el contexto de la tabla"")"),"MILLARD")</f>
        <v>MILLARD</v>
      </c>
      <c r="D352" s="18"/>
      <c r="E352" s="10"/>
      <c r="F352" s="10"/>
      <c r="G352" s="18"/>
      <c r="H352" s="38" t="s">
        <v>682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2" t="s">
        <v>774</v>
      </c>
      <c r="B353" s="84" t="s">
        <v>775</v>
      </c>
      <c r="C353" s="48" t="str">
        <f>IFERROR(__xludf.DUMMYFUNCTION("AI(""Introduce un valor adecuado para esta celda según el contexto de la tabla"")"),"MILLARD")</f>
        <v>MILLARD</v>
      </c>
      <c r="D353" s="18"/>
      <c r="E353" s="10"/>
      <c r="F353" s="10"/>
      <c r="G353" s="18"/>
      <c r="H353" s="38" t="s">
        <v>682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2" t="s">
        <v>777</v>
      </c>
      <c r="B354" s="84" t="s">
        <v>778</v>
      </c>
      <c r="C354" s="48" t="str">
        <f>IFERROR(__xludf.DUMMYFUNCTION("AI(""Introduce un valor adecuado para esta celda según el contexto de la tabla"")"),"MILLARD")</f>
        <v>MILLARD</v>
      </c>
      <c r="D354" s="18"/>
      <c r="E354" s="10"/>
      <c r="F354" s="10"/>
      <c r="G354" s="18"/>
      <c r="H354" s="38" t="s">
        <v>682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2" t="s">
        <v>779</v>
      </c>
      <c r="B355" s="84" t="s">
        <v>780</v>
      </c>
      <c r="C355" s="48" t="str">
        <f>IFERROR(__xludf.DUMMYFUNCTION("AI(""Introduce un valor adecuado para esta celda según el contexto de la tabla"")"),"MILLARD")</f>
        <v>MILLARD</v>
      </c>
      <c r="D355" s="38">
        <v>0.0</v>
      </c>
      <c r="E355" s="10"/>
      <c r="F355" s="10"/>
      <c r="G355" s="18"/>
      <c r="H355" s="38" t="s">
        <v>682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33" t="s">
        <v>32</v>
      </c>
      <c r="B356" s="84" t="s">
        <v>782</v>
      </c>
      <c r="C356" s="48" t="str">
        <f>IFERROR(__xludf.DUMMYFUNCTION("AI(""Introduce un valor adecuado para esta celda según el contexto de la tabla"")"),"SIFT")</f>
        <v>SIFT</v>
      </c>
      <c r="D356" s="18"/>
      <c r="E356" s="10"/>
      <c r="F356" s="10"/>
      <c r="G356" s="18"/>
      <c r="H356" s="38" t="s">
        <v>682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33" t="s">
        <v>32</v>
      </c>
      <c r="B357" s="84" t="s">
        <v>784</v>
      </c>
      <c r="C357" s="48" t="str">
        <f>IFERROR(__xludf.DUMMYFUNCTION("AI(""Introduce un valor adecuado para esta celda según el contexto de la tabla"")"),"SIFT")</f>
        <v>SIFT</v>
      </c>
      <c r="D357" s="18"/>
      <c r="E357" s="10"/>
      <c r="F357" s="10"/>
      <c r="G357" s="18"/>
      <c r="H357" s="38" t="s">
        <v>682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33" t="s">
        <v>32</v>
      </c>
      <c r="B358" s="84" t="s">
        <v>786</v>
      </c>
      <c r="C358" s="48" t="str">
        <f>IFERROR(__xludf.DUMMYFUNCTION("AI(""Introduce un valor adecuado para esta celda según el contexto de la tabla"")"),"SIFT")</f>
        <v>SIFT</v>
      </c>
      <c r="D358" s="18"/>
      <c r="E358" s="10"/>
      <c r="F358" s="10"/>
      <c r="G358" s="18"/>
      <c r="H358" s="38" t="s">
        <v>682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33" t="s">
        <v>32</v>
      </c>
      <c r="B359" s="84" t="s">
        <v>787</v>
      </c>
      <c r="C359" s="48" t="str">
        <f>IFERROR(__xludf.DUMMYFUNCTION("AI(""Introduce un valor adecuado para esta celda según el contexto de la tabla"")"),"SIFT")</f>
        <v>SIFT</v>
      </c>
      <c r="D359" s="18"/>
      <c r="E359" s="10"/>
      <c r="F359" s="10"/>
      <c r="G359" s="18"/>
      <c r="H359" s="38" t="s">
        <v>682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33" t="s">
        <v>32</v>
      </c>
      <c r="B360" s="84" t="s">
        <v>789</v>
      </c>
      <c r="C360" s="48" t="str">
        <f>IFERROR(__xludf.DUMMYFUNCTION("AI(""Introduce un valor adecuado para esta celda según el contexto de la tabla"")"),"SIFT")</f>
        <v>SIFT</v>
      </c>
      <c r="D360" s="18"/>
      <c r="E360" s="10"/>
      <c r="F360" s="10"/>
      <c r="G360" s="18"/>
      <c r="H360" s="38" t="s">
        <v>682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33" t="s">
        <v>32</v>
      </c>
      <c r="B361" s="84" t="s">
        <v>791</v>
      </c>
      <c r="C361" s="48" t="str">
        <f>IFERROR(__xludf.DUMMYFUNCTION("AI(""Introduce un valor adecuado para esta celda según el contexto de la tabla"")"),"SIFT")</f>
        <v>SIFT</v>
      </c>
      <c r="D361" s="18"/>
      <c r="E361" s="10"/>
      <c r="F361" s="10"/>
      <c r="G361" s="18"/>
      <c r="H361" s="38" t="s">
        <v>682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2" t="s">
        <v>792</v>
      </c>
      <c r="B362" s="84" t="s">
        <v>793</v>
      </c>
      <c r="C362" s="48" t="str">
        <f>IFERROR(__xludf.DUMMYFUNCTION("AI(""Introduce un valor adecuado para esta celda según el contexto de la tabla"")"),"SIFT")</f>
        <v>SIFT</v>
      </c>
      <c r="D362" s="18"/>
      <c r="E362" s="10"/>
      <c r="F362" s="10"/>
      <c r="G362" s="18"/>
      <c r="H362" s="38" t="s">
        <v>682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33" t="s">
        <v>32</v>
      </c>
      <c r="B363" s="84" t="s">
        <v>795</v>
      </c>
      <c r="C363" s="48" t="str">
        <f>IFERROR(__xludf.DUMMYFUNCTION("AI(""Introduce un valor adecuado para esta celda según el contexto de la tabla"")"),"SIFT")</f>
        <v>SIFT</v>
      </c>
      <c r="D363" s="18"/>
      <c r="E363" s="10"/>
      <c r="F363" s="10"/>
      <c r="G363" s="18"/>
      <c r="H363" s="38" t="s">
        <v>682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33" t="s">
        <v>32</v>
      </c>
      <c r="B364" s="84" t="s">
        <v>796</v>
      </c>
      <c r="C364" s="48" t="str">
        <f>IFERROR(__xludf.DUMMYFUNCTION("AI(""Introduce un valor adecuado para esta celda según el contexto de la tabla"")"),"SIFT")</f>
        <v>SIFT</v>
      </c>
      <c r="D364" s="18"/>
      <c r="E364" s="10"/>
      <c r="F364" s="10"/>
      <c r="G364" s="18"/>
      <c r="H364" s="38" t="s">
        <v>682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33" t="s">
        <v>32</v>
      </c>
      <c r="B365" s="84" t="s">
        <v>799</v>
      </c>
      <c r="C365" s="48" t="str">
        <f>IFERROR(__xludf.DUMMYFUNCTION("AI(""Introduce un valor adecuado para esta celda según el contexto de la tabla"")"),"SIFT")</f>
        <v>SIFT</v>
      </c>
      <c r="D365" s="18"/>
      <c r="E365" s="10"/>
      <c r="F365" s="10"/>
      <c r="G365" s="18"/>
      <c r="H365" s="38" t="s">
        <v>682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33" t="s">
        <v>32</v>
      </c>
      <c r="B366" s="84" t="s">
        <v>800</v>
      </c>
      <c r="C366" s="48" t="str">
        <f>IFERROR(__xludf.DUMMYFUNCTION("AI(""Introduce un valor adecuado para esta celda según el contexto de la tabla"")"),"SIFT")</f>
        <v>SIFT</v>
      </c>
      <c r="D366" s="18"/>
      <c r="E366" s="10"/>
      <c r="F366" s="10"/>
      <c r="G366" s="18"/>
      <c r="H366" s="38" t="s">
        <v>682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33" t="s">
        <v>32</v>
      </c>
      <c r="B367" s="84" t="s">
        <v>801</v>
      </c>
      <c r="C367" s="48" t="str">
        <f>IFERROR(__xludf.DUMMYFUNCTION("AI(""Introduce un valor adecuado para esta celda según el contexto de la tabla"")"),"SIFT")</f>
        <v>SIFT</v>
      </c>
      <c r="D367" s="18"/>
      <c r="E367" s="10"/>
      <c r="F367" s="10"/>
      <c r="G367" s="18"/>
      <c r="H367" s="38" t="s">
        <v>682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33" t="s">
        <v>32</v>
      </c>
      <c r="B368" s="84" t="s">
        <v>803</v>
      </c>
      <c r="C368" s="48" t="str">
        <f>IFERROR(__xludf.DUMMYFUNCTION("AI(""Introduce un valor adecuado para esta celda según el contexto de la tabla"")"),"SIFT")</f>
        <v>SIFT</v>
      </c>
      <c r="D368" s="18"/>
      <c r="E368" s="10"/>
      <c r="F368" s="10"/>
      <c r="G368" s="18"/>
      <c r="H368" s="38" t="s">
        <v>682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33" t="s">
        <v>32</v>
      </c>
      <c r="B369" s="84" t="s">
        <v>805</v>
      </c>
      <c r="C369" s="48" t="str">
        <f>IFERROR(__xludf.DUMMYFUNCTION("AI(""Introduce un valor adecuado para esta celda según el contexto de la tabla"")"),"SIFT")</f>
        <v>SIFT</v>
      </c>
      <c r="D369" s="18"/>
      <c r="E369" s="10"/>
      <c r="F369" s="10"/>
      <c r="G369" s="18"/>
      <c r="H369" s="38" t="s">
        <v>682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33" t="s">
        <v>32</v>
      </c>
      <c r="B370" s="84" t="s">
        <v>807</v>
      </c>
      <c r="C370" s="48" t="str">
        <f>IFERROR(__xludf.DUMMYFUNCTION("AI(""Introduce un valor adecuado para esta celda según el contexto de la tabla"")"),"SIFT")</f>
        <v>SIFT</v>
      </c>
      <c r="D370" s="18"/>
      <c r="E370" s="10"/>
      <c r="F370" s="10"/>
      <c r="G370" s="18"/>
      <c r="H370" s="38" t="s">
        <v>682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33" t="s">
        <v>32</v>
      </c>
      <c r="B371" s="84" t="s">
        <v>808</v>
      </c>
      <c r="C371" s="48" t="str">
        <f>IFERROR(__xludf.DUMMYFUNCTION("AI(""Introduce un valor adecuado para esta celda según el contexto de la tabla"")"),"SIFT")</f>
        <v>SIFT</v>
      </c>
      <c r="D371" s="18"/>
      <c r="E371" s="10"/>
      <c r="F371" s="10"/>
      <c r="G371" s="18"/>
      <c r="H371" s="38" t="s">
        <v>682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33" t="s">
        <v>32</v>
      </c>
      <c r="B372" s="84" t="s">
        <v>809</v>
      </c>
      <c r="C372" s="48" t="str">
        <f>IFERROR(__xludf.DUMMYFUNCTION("AI(""Introduce un valor adecuado para esta celda según el contexto de la tabla"")"),"SIFT")</f>
        <v>SIFT</v>
      </c>
      <c r="D372" s="18"/>
      <c r="E372" s="10"/>
      <c r="F372" s="10"/>
      <c r="G372" s="18"/>
      <c r="H372" s="38" t="s">
        <v>682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33" t="s">
        <v>32</v>
      </c>
      <c r="B373" s="84" t="s">
        <v>811</v>
      </c>
      <c r="C373" s="48" t="str">
        <f>IFERROR(__xludf.DUMMYFUNCTION("AI(""Introduce un valor adecuado para esta celda según el contexto de la tabla"")"),"SIFT")</f>
        <v>SIFT</v>
      </c>
      <c r="D373" s="18"/>
      <c r="E373" s="10"/>
      <c r="F373" s="10"/>
      <c r="G373" s="18"/>
      <c r="H373" s="38" t="s">
        <v>682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33" t="s">
        <v>32</v>
      </c>
      <c r="B374" s="84" t="s">
        <v>812</v>
      </c>
      <c r="C374" s="48" t="str">
        <f>IFERROR(__xludf.DUMMYFUNCTION("AI(""Introduce un valor adecuado para esta celda según el contexto de la tabla"")"),"SIFT")</f>
        <v>SIFT</v>
      </c>
      <c r="D374" s="18"/>
      <c r="E374" s="10"/>
      <c r="F374" s="10"/>
      <c r="G374" s="18"/>
      <c r="H374" s="38" t="s">
        <v>682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33" t="s">
        <v>32</v>
      </c>
      <c r="B375" s="84" t="s">
        <v>814</v>
      </c>
      <c r="C375" s="48" t="str">
        <f>IFERROR(__xludf.DUMMYFUNCTION("AI(""Introduce un valor adecuado para esta celda según el contexto de la tabla"")"),"SIFT")</f>
        <v>SIFT</v>
      </c>
      <c r="D375" s="18"/>
      <c r="E375" s="10"/>
      <c r="F375" s="10"/>
      <c r="G375" s="18"/>
      <c r="H375" s="38" t="s">
        <v>682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33" t="s">
        <v>32</v>
      </c>
      <c r="B376" s="84" t="s">
        <v>815</v>
      </c>
      <c r="C376" s="48" t="str">
        <f>IFERROR(__xludf.DUMMYFUNCTION("AI(""Introduce un valor adecuado para esta celda según el contexto de la tabla"")"),"SIFT")</f>
        <v>SIFT</v>
      </c>
      <c r="D376" s="18"/>
      <c r="E376" s="10"/>
      <c r="F376" s="10"/>
      <c r="G376" s="18"/>
      <c r="H376" s="38" t="s">
        <v>682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33" t="s">
        <v>32</v>
      </c>
      <c r="B377" s="84" t="s">
        <v>817</v>
      </c>
      <c r="C377" s="48" t="str">
        <f>IFERROR(__xludf.DUMMYFUNCTION("AI(""Introduce un valor adecuado para esta celda según el contexto de la tabla"")"),"SIFT")</f>
        <v>SIFT</v>
      </c>
      <c r="D377" s="18"/>
      <c r="E377" s="10"/>
      <c r="F377" s="10"/>
      <c r="G377" s="18"/>
      <c r="H377" s="38" t="s">
        <v>682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2" t="s">
        <v>819</v>
      </c>
      <c r="B378" s="84" t="s">
        <v>820</v>
      </c>
      <c r="C378" s="48" t="str">
        <f>IFERROR(__xludf.DUMMYFUNCTION("AI(""Introduce un valor adecuado para esta celda según el contexto de la tabla"")"),"SIFT")</f>
        <v>SIFT</v>
      </c>
      <c r="D378" s="18"/>
      <c r="E378" s="10"/>
      <c r="F378" s="10"/>
      <c r="G378" s="18"/>
      <c r="H378" s="38" t="s">
        <v>682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33" t="s">
        <v>32</v>
      </c>
      <c r="B379" s="84" t="s">
        <v>821</v>
      </c>
      <c r="C379" s="48" t="str">
        <f>IFERROR(__xludf.DUMMYFUNCTION("AI(""Introduce un valor adecuado para esta celda según el contexto de la tabla"")"),"SIFT")</f>
        <v>SIFT</v>
      </c>
      <c r="D379" s="18"/>
      <c r="E379" s="10"/>
      <c r="F379" s="10"/>
      <c r="G379" s="18"/>
      <c r="H379" s="38" t="s">
        <v>682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33" t="s">
        <v>32</v>
      </c>
      <c r="B380" s="84" t="s">
        <v>823</v>
      </c>
      <c r="C380" s="48" t="str">
        <f>IFERROR(__xludf.DUMMYFUNCTION("AI(""Introduce un valor adecuado para esta celda según el contexto de la tabla"")"),"SIFT")</f>
        <v>SIFT</v>
      </c>
      <c r="D380" s="18"/>
      <c r="E380" s="10"/>
      <c r="F380" s="10"/>
      <c r="G380" s="18"/>
      <c r="H380" s="38" t="s">
        <v>682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33" t="s">
        <v>32</v>
      </c>
      <c r="B381" s="84" t="s">
        <v>825</v>
      </c>
      <c r="C381" s="48" t="str">
        <f>IFERROR(__xludf.DUMMYFUNCTION("AI(""Introduce un valor adecuado para esta celda según el contexto de la tabla"")"),"SIFT")</f>
        <v>SIFT</v>
      </c>
      <c r="D381" s="18"/>
      <c r="E381" s="10"/>
      <c r="F381" s="10"/>
      <c r="G381" s="18"/>
      <c r="H381" s="38" t="s">
        <v>682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33" t="s">
        <v>32</v>
      </c>
      <c r="B382" s="84" t="s">
        <v>826</v>
      </c>
      <c r="C382" s="48" t="str">
        <f>IFERROR(__xludf.DUMMYFUNCTION("AI(""Introduce un valor adecuado para esta celda según el contexto de la tabla"")"),"SIFT")</f>
        <v>SIFT</v>
      </c>
      <c r="D382" s="18"/>
      <c r="E382" s="10"/>
      <c r="F382" s="10"/>
      <c r="G382" s="18"/>
      <c r="H382" s="38" t="s">
        <v>682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33" t="s">
        <v>32</v>
      </c>
      <c r="B383" s="84" t="s">
        <v>827</v>
      </c>
      <c r="C383" s="48" t="str">
        <f>IFERROR(__xludf.DUMMYFUNCTION("AI(""Introduce un valor adecuado para esta celda según el contexto de la tabla"")"),"SIFT")</f>
        <v>SIFT</v>
      </c>
      <c r="D383" s="18"/>
      <c r="E383" s="10"/>
      <c r="F383" s="10"/>
      <c r="G383" s="18"/>
      <c r="H383" s="38" t="s">
        <v>682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33" t="s">
        <v>32</v>
      </c>
      <c r="B384" s="84" t="s">
        <v>828</v>
      </c>
      <c r="C384" s="48" t="str">
        <f>IFERROR(__xludf.DUMMYFUNCTION("AI(""Introduce un valor adecuado para esta celda según el contexto de la tabla"")"),"SIFT")</f>
        <v>SIFT</v>
      </c>
      <c r="D384" s="18"/>
      <c r="E384" s="10"/>
      <c r="F384" s="10"/>
      <c r="G384" s="18"/>
      <c r="H384" s="38" t="s">
        <v>682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33" t="s">
        <v>32</v>
      </c>
      <c r="B385" s="84" t="s">
        <v>829</v>
      </c>
      <c r="C385" s="48" t="str">
        <f>IFERROR(__xludf.DUMMYFUNCTION("AI(""Introduce un valor adecuado para esta celda según el contexto de la tabla"")"),"SIFT")</f>
        <v>SIFT</v>
      </c>
      <c r="D385" s="18"/>
      <c r="E385" s="10"/>
      <c r="F385" s="10"/>
      <c r="G385" s="18"/>
      <c r="H385" s="38" t="s">
        <v>682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33" t="s">
        <v>32</v>
      </c>
      <c r="B386" s="84" t="s">
        <v>830</v>
      </c>
      <c r="C386" s="48" t="str">
        <f>IFERROR(__xludf.DUMMYFUNCTION("AI(""Introduce un valor adecuado para esta celda según el contexto de la tabla"")"),"SIFT")</f>
        <v>SIFT</v>
      </c>
      <c r="D386" s="18"/>
      <c r="E386" s="10"/>
      <c r="F386" s="10"/>
      <c r="G386" s="18"/>
      <c r="H386" s="38" t="s">
        <v>682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33" t="s">
        <v>32</v>
      </c>
      <c r="B387" s="84" t="s">
        <v>831</v>
      </c>
      <c r="C387" s="48" t="str">
        <f>IFERROR(__xludf.DUMMYFUNCTION("AI(""Introduce un valor adecuado para esta celda según el contexto de la tabla"")"),"SIFT")</f>
        <v>SIFT</v>
      </c>
      <c r="D387" s="18"/>
      <c r="E387" s="10"/>
      <c r="F387" s="10"/>
      <c r="G387" s="18"/>
      <c r="H387" s="38" t="s">
        <v>682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33" t="s">
        <v>32</v>
      </c>
      <c r="B388" s="84" t="s">
        <v>832</v>
      </c>
      <c r="C388" s="48" t="str">
        <f>IFERROR(__xludf.DUMMYFUNCTION("AI(""Introduce un valor adecuado para esta celda según el contexto de la tabla"")"),"SIFT")</f>
        <v>SIFT</v>
      </c>
      <c r="D388" s="18"/>
      <c r="E388" s="10"/>
      <c r="F388" s="10"/>
      <c r="G388" s="18"/>
      <c r="H388" s="38" t="s">
        <v>682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33" t="s">
        <v>32</v>
      </c>
      <c r="B389" s="84" t="s">
        <v>833</v>
      </c>
      <c r="C389" s="48" t="str">
        <f>IFERROR(__xludf.DUMMYFUNCTION("AI(""Introduce un valor adecuado para esta celda según el contexto de la tabla"")"),"SIFT")</f>
        <v>SIFT</v>
      </c>
      <c r="D389" s="18"/>
      <c r="E389" s="10"/>
      <c r="F389" s="10"/>
      <c r="G389" s="18"/>
      <c r="H389" s="38" t="s">
        <v>682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33" t="s">
        <v>32</v>
      </c>
      <c r="B390" s="84" t="s">
        <v>834</v>
      </c>
      <c r="C390" s="48" t="str">
        <f>IFERROR(__xludf.DUMMYFUNCTION("AI(""Introduce un valor adecuado para esta celda según el contexto de la tabla"")"),"SIFT")</f>
        <v>SIFT</v>
      </c>
      <c r="D390" s="18"/>
      <c r="E390" s="10"/>
      <c r="F390" s="10"/>
      <c r="G390" s="18"/>
      <c r="H390" s="38" t="s">
        <v>682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33" t="s">
        <v>32</v>
      </c>
      <c r="B391" s="84" t="s">
        <v>835</v>
      </c>
      <c r="C391" s="48" t="str">
        <f>IFERROR(__xludf.DUMMYFUNCTION("AI(""Introduce un valor adecuado para esta celda según el contexto de la tabla"")"),"SIFT")</f>
        <v>SIFT</v>
      </c>
      <c r="D391" s="18"/>
      <c r="E391" s="10"/>
      <c r="F391" s="10"/>
      <c r="G391" s="18"/>
      <c r="H391" s="38" t="s">
        <v>682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33" t="s">
        <v>32</v>
      </c>
      <c r="B392" s="84" t="s">
        <v>836</v>
      </c>
      <c r="C392" s="48" t="str">
        <f>IFERROR(__xludf.DUMMYFUNCTION("AI(""Introduce un valor adecuado para esta celda según el contexto de la tabla"")"),"SIFT")</f>
        <v>SIFT</v>
      </c>
      <c r="D392" s="18"/>
      <c r="E392" s="10"/>
      <c r="F392" s="10"/>
      <c r="G392" s="18"/>
      <c r="H392" s="38" t="s">
        <v>682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33" t="s">
        <v>32</v>
      </c>
      <c r="B393" s="84" t="s">
        <v>837</v>
      </c>
      <c r="C393" s="48" t="str">
        <f>IFERROR(__xludf.DUMMYFUNCTION("AI(""Introduce un valor adecuado para esta celda según el contexto de la tabla"")"),"SIFT")</f>
        <v>SIFT</v>
      </c>
      <c r="D393" s="18"/>
      <c r="E393" s="10"/>
      <c r="F393" s="10"/>
      <c r="G393" s="18"/>
      <c r="H393" s="38" t="s">
        <v>682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33" t="s">
        <v>32</v>
      </c>
      <c r="B394" s="84" t="s">
        <v>838</v>
      </c>
      <c r="C394" s="48" t="str">
        <f>IFERROR(__xludf.DUMMYFUNCTION("AI(""Introduce un valor adecuado para esta celda según el contexto de la tabla"")"),"SIFT")</f>
        <v>SIFT</v>
      </c>
      <c r="D394" s="18"/>
      <c r="E394" s="10"/>
      <c r="F394" s="10"/>
      <c r="G394" s="18"/>
      <c r="H394" s="38" t="s">
        <v>682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33" t="s">
        <v>32</v>
      </c>
      <c r="B395" s="84" t="s">
        <v>839</v>
      </c>
      <c r="C395" s="48" t="str">
        <f>IFERROR(__xludf.DUMMYFUNCTION("AI(""Introduce un valor adecuado para esta celda según el contexto de la tabla"")"),"SIFT")</f>
        <v>SIFT</v>
      </c>
      <c r="D395" s="18"/>
      <c r="E395" s="10"/>
      <c r="F395" s="10"/>
      <c r="G395" s="18"/>
      <c r="H395" s="38" t="s">
        <v>682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33" t="s">
        <v>32</v>
      </c>
      <c r="B396" s="84" t="s">
        <v>841</v>
      </c>
      <c r="C396" s="48" t="str">
        <f>IFERROR(__xludf.DUMMYFUNCTION("AI(""Introduce un valor adecuado para esta celda según el contexto de la tabla"")"),"SIFT")</f>
        <v>SIFT</v>
      </c>
      <c r="D396" s="18"/>
      <c r="E396" s="10"/>
      <c r="F396" s="10"/>
      <c r="G396" s="18"/>
      <c r="H396" s="38" t="s">
        <v>682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2" t="s">
        <v>842</v>
      </c>
      <c r="B397" s="84" t="s">
        <v>843</v>
      </c>
      <c r="C397" s="48" t="str">
        <f>IFERROR(__xludf.DUMMYFUNCTION("AI(""Introduce un valor adecuado para esta celda según el contexto de la tabla"")"),"SIFT")</f>
        <v>SIFT</v>
      </c>
      <c r="D397" s="18"/>
      <c r="E397" s="10"/>
      <c r="F397" s="10"/>
      <c r="G397" s="18"/>
      <c r="H397" s="38" t="s">
        <v>682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33" t="s">
        <v>32</v>
      </c>
      <c r="B398" s="84" t="s">
        <v>844</v>
      </c>
      <c r="C398" s="48" t="str">
        <f>IFERROR(__xludf.DUMMYFUNCTION("AI(""Introduce un valor adecuado para esta celda según el contexto de la tabla"")"),"SIFT")</f>
        <v>SIFT</v>
      </c>
      <c r="D398" s="18"/>
      <c r="E398" s="10"/>
      <c r="F398" s="10"/>
      <c r="G398" s="18"/>
      <c r="H398" s="38" t="s">
        <v>682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33" t="s">
        <v>32</v>
      </c>
      <c r="B399" s="84" t="s">
        <v>845</v>
      </c>
      <c r="C399" s="48" t="str">
        <f>IFERROR(__xludf.DUMMYFUNCTION("AI(""Introduce un valor adecuado para esta celda según el contexto de la tabla"")"),"SIFT")</f>
        <v>SIFT</v>
      </c>
      <c r="D399" s="18"/>
      <c r="E399" s="10"/>
      <c r="F399" s="10"/>
      <c r="G399" s="18"/>
      <c r="H399" s="38" t="s">
        <v>682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33" t="s">
        <v>32</v>
      </c>
      <c r="B400" s="84" t="s">
        <v>846</v>
      </c>
      <c r="C400" s="48" t="str">
        <f>IFERROR(__xludf.DUMMYFUNCTION("AI(""Introduce un valor adecuado para esta celda según el contexto de la tabla"")"),"SIFT")</f>
        <v>SIFT</v>
      </c>
      <c r="D400" s="18"/>
      <c r="E400" s="10"/>
      <c r="F400" s="10"/>
      <c r="G400" s="18"/>
      <c r="H400" s="38" t="s">
        <v>682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33" t="s">
        <v>32</v>
      </c>
      <c r="B401" s="84" t="s">
        <v>848</v>
      </c>
      <c r="C401" s="48" t="str">
        <f>IFERROR(__xludf.DUMMYFUNCTION("AI(""Introduce un valor adecuado para esta celda según el contexto de la tabla"")"),"SIFT")</f>
        <v>SIFT</v>
      </c>
      <c r="D401" s="18"/>
      <c r="E401" s="10"/>
      <c r="F401" s="10"/>
      <c r="G401" s="18"/>
      <c r="H401" s="38" t="s">
        <v>682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2" t="s">
        <v>849</v>
      </c>
      <c r="B402" s="84" t="s">
        <v>850</v>
      </c>
      <c r="C402" s="48" t="str">
        <f>IFERROR(__xludf.DUMMYFUNCTION("AI(""Introduce un valor adecuado para esta celda según el contexto de la tabla"")"),"QUALID")</f>
        <v>QUALID</v>
      </c>
      <c r="D402" s="18"/>
      <c r="E402" s="10"/>
      <c r="F402" s="10"/>
      <c r="G402" s="18"/>
      <c r="H402" s="38" t="s">
        <v>682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33" t="s">
        <v>32</v>
      </c>
      <c r="B403" s="84" t="s">
        <v>851</v>
      </c>
      <c r="C403" s="34" t="s">
        <v>619</v>
      </c>
      <c r="D403" s="18"/>
      <c r="E403" s="10"/>
      <c r="F403" s="10"/>
      <c r="G403" s="18"/>
      <c r="H403" s="38" t="s">
        <v>682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33" t="s">
        <v>32</v>
      </c>
      <c r="B404" s="84" t="s">
        <v>852</v>
      </c>
      <c r="C404" s="48" t="str">
        <f>IFERROR(__xludf.DUMMYFUNCTION("AI(""Introduce un valor adecuado para esta celda según el contexto de la tabla"")"),"QUALID")</f>
        <v>QUALID</v>
      </c>
      <c r="D404" s="18"/>
      <c r="E404" s="10"/>
      <c r="F404" s="10"/>
      <c r="G404" s="18"/>
      <c r="H404" s="38" t="s">
        <v>682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33" t="s">
        <v>32</v>
      </c>
      <c r="B405" s="84" t="s">
        <v>853</v>
      </c>
      <c r="C405" s="48" t="str">
        <f>IFERROR(__xludf.DUMMYFUNCTION("AI(""Introduce un valor adecuado para esta celda según el contexto de la tabla"")"),"QUALID")</f>
        <v>QUALID</v>
      </c>
      <c r="D405" s="18"/>
      <c r="E405" s="10"/>
      <c r="F405" s="10"/>
      <c r="G405" s="18"/>
      <c r="H405" s="38" t="s">
        <v>682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2" t="s">
        <v>854</v>
      </c>
      <c r="B406" s="84" t="s">
        <v>855</v>
      </c>
      <c r="C406" s="48" t="str">
        <f>IFERROR(__xludf.DUMMYFUNCTION("AI(""Introduce un valor adecuado para esta celda según el contexto de la tabla"")"),"QUALID")</f>
        <v>QUALID</v>
      </c>
      <c r="D406" s="18"/>
      <c r="E406" s="10"/>
      <c r="F406" s="10"/>
      <c r="G406" s="18"/>
      <c r="H406" s="38" t="s">
        <v>682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33" t="s">
        <v>32</v>
      </c>
      <c r="B407" s="84" t="s">
        <v>856</v>
      </c>
      <c r="C407" s="48" t="str">
        <f>IFERROR(__xludf.DUMMYFUNCTION("AI(""Introduce un valor adecuado para esta celda según el contexto de la tabla"")"),"QUALID")</f>
        <v>QUALID</v>
      </c>
      <c r="D407" s="18"/>
      <c r="E407" s="10"/>
      <c r="F407" s="10"/>
      <c r="G407" s="18"/>
      <c r="H407" s="38" t="s">
        <v>682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2" t="s">
        <v>857</v>
      </c>
      <c r="B408" s="84" t="s">
        <v>858</v>
      </c>
      <c r="C408" s="48" t="str">
        <f>IFERROR(__xludf.DUMMYFUNCTION("AI(""Introduce un valor adecuado para esta celda según el contexto de la tabla"")"),"QUALID")</f>
        <v>QUALID</v>
      </c>
      <c r="D408" s="18"/>
      <c r="E408" s="10"/>
      <c r="F408" s="10"/>
      <c r="G408" s="18"/>
      <c r="H408" s="38" t="s">
        <v>682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2" t="s">
        <v>859</v>
      </c>
      <c r="B409" s="84" t="s">
        <v>860</v>
      </c>
      <c r="C409" s="48" t="str">
        <f>IFERROR(__xludf.DUMMYFUNCTION("AI(""Introduce un valor adecuado para esta celda según el contexto de la tabla"")"),"QUALID")</f>
        <v>QUALID</v>
      </c>
      <c r="D409" s="18"/>
      <c r="E409" s="10"/>
      <c r="F409" s="10"/>
      <c r="G409" s="18"/>
      <c r="H409" s="38" t="s">
        <v>682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33" t="s">
        <v>32</v>
      </c>
      <c r="B410" s="84" t="s">
        <v>861</v>
      </c>
      <c r="C410" s="48" t="str">
        <f>IFERROR(__xludf.DUMMYFUNCTION("AI(""Introduce un valor adecuado para esta celda según el contexto de la tabla"")"),"QUALID")</f>
        <v>QUALID</v>
      </c>
      <c r="D410" s="18"/>
      <c r="E410" s="10"/>
      <c r="F410" s="10"/>
      <c r="G410" s="18"/>
      <c r="H410" s="38" t="s">
        <v>682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2" t="s">
        <v>862</v>
      </c>
      <c r="B411" s="84" t="s">
        <v>863</v>
      </c>
      <c r="C411" s="48" t="str">
        <f>IFERROR(__xludf.DUMMYFUNCTION("AI(""Introduce un valor adecuado para esta celda según el contexto de la tabla"")"),"MILLARD")</f>
        <v>MILLARD</v>
      </c>
      <c r="D411" s="18"/>
      <c r="E411" s="10"/>
      <c r="F411" s="10"/>
      <c r="G411" s="18"/>
      <c r="H411" s="38" t="s">
        <v>682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33" t="s">
        <v>32</v>
      </c>
      <c r="B412" s="84" t="s">
        <v>864</v>
      </c>
      <c r="C412" s="48" t="str">
        <f>IFERROR(__xludf.DUMMYFUNCTION("AI(""Introduce un valor adecuado para esta celda según el contexto de la tabla"")"),"QUALID")</f>
        <v>QUALID</v>
      </c>
      <c r="D412" s="18"/>
      <c r="E412" s="10"/>
      <c r="F412" s="10"/>
      <c r="G412" s="18"/>
      <c r="H412" s="38" t="s">
        <v>682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33" t="s">
        <v>32</v>
      </c>
      <c r="B413" s="84" t="s">
        <v>865</v>
      </c>
      <c r="C413" s="48" t="str">
        <f>IFERROR(__xludf.DUMMYFUNCTION("AI(""Introduce un valor adecuado para esta celda según el contexto de la tabla"")"),"QUALID")</f>
        <v>QUALID</v>
      </c>
      <c r="D413" s="18"/>
      <c r="E413" s="10"/>
      <c r="F413" s="10"/>
      <c r="G413" s="18"/>
      <c r="H413" s="38" t="s">
        <v>682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2" t="s">
        <v>866</v>
      </c>
      <c r="B414" s="84" t="s">
        <v>867</v>
      </c>
      <c r="C414" s="48" t="str">
        <f>IFERROR(__xludf.DUMMYFUNCTION("AI(""Introduce un valor adecuado para esta celda según el contexto de la tabla"")"),"QUALID")</f>
        <v>QUALID</v>
      </c>
      <c r="D414" s="18"/>
      <c r="E414" s="10"/>
      <c r="F414" s="10"/>
      <c r="G414" s="18"/>
      <c r="H414" s="38" t="s">
        <v>682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33" t="s">
        <v>32</v>
      </c>
      <c r="B415" s="84" t="s">
        <v>869</v>
      </c>
      <c r="C415" s="48" t="str">
        <f>IFERROR(__xludf.DUMMYFUNCTION("AI(""Introduce un valor adecuado para esta celda según el contexto de la tabla"")"),"QUALID")</f>
        <v>QUALID</v>
      </c>
      <c r="D415" s="18"/>
      <c r="E415" s="10"/>
      <c r="F415" s="10"/>
      <c r="G415" s="18"/>
      <c r="H415" s="38" t="s">
        <v>682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33" t="s">
        <v>32</v>
      </c>
      <c r="B416" s="84" t="s">
        <v>870</v>
      </c>
      <c r="C416" s="48" t="str">
        <f>IFERROR(__xludf.DUMMYFUNCTION("AI(""Introduce un valor adecuado para esta celda según el contexto de la tabla"")"),"QUALID")</f>
        <v>QUALID</v>
      </c>
      <c r="D416" s="18"/>
      <c r="E416" s="10"/>
      <c r="F416" s="10"/>
      <c r="G416" s="18"/>
      <c r="H416" s="38" t="s">
        <v>682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33" t="s">
        <v>32</v>
      </c>
      <c r="B417" s="84" t="s">
        <v>872</v>
      </c>
      <c r="C417" s="48" t="str">
        <f>IFERROR(__xludf.DUMMYFUNCTION("AI(""Introduce un valor adecuado para esta celda según el contexto de la tabla"")"),"QUALID")</f>
        <v>QUALID</v>
      </c>
      <c r="D417" s="18"/>
      <c r="E417" s="10"/>
      <c r="F417" s="10"/>
      <c r="G417" s="18"/>
      <c r="H417" s="38" t="s">
        <v>682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2" t="s">
        <v>873</v>
      </c>
      <c r="B418" s="84" t="s">
        <v>874</v>
      </c>
      <c r="C418" s="48" t="str">
        <f>IFERROR(__xludf.DUMMYFUNCTION("AI(""Introduce un valor adecuado para esta celda según el contexto de la tabla"")"),"MILLARD")</f>
        <v>MILLARD</v>
      </c>
      <c r="D418" s="18"/>
      <c r="E418" s="10"/>
      <c r="F418" s="10"/>
      <c r="G418" s="18"/>
      <c r="H418" s="38" t="s">
        <v>682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2" t="s">
        <v>876</v>
      </c>
      <c r="B419" s="84" t="s">
        <v>877</v>
      </c>
      <c r="C419" s="48" t="str">
        <f>IFERROR(__xludf.DUMMYFUNCTION("AI(""Introduce un valor adecuado para esta celda según el contexto de la tabla"")"),"QUALID")</f>
        <v>QUALID</v>
      </c>
      <c r="D419" s="18"/>
      <c r="E419" s="10"/>
      <c r="F419" s="10"/>
      <c r="G419" s="18"/>
      <c r="H419" s="38" t="s">
        <v>682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33" t="s">
        <v>32</v>
      </c>
      <c r="B420" s="84" t="s">
        <v>878</v>
      </c>
      <c r="C420" s="48" t="str">
        <f>IFERROR(__xludf.DUMMYFUNCTION("AI(""Introduce un valor adecuado para esta celda según el contexto de la tabla"")"),"QUALID")</f>
        <v>QUALID</v>
      </c>
      <c r="D420" s="18"/>
      <c r="E420" s="10"/>
      <c r="F420" s="10"/>
      <c r="G420" s="18"/>
      <c r="H420" s="38" t="s">
        <v>682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33" t="s">
        <v>32</v>
      </c>
      <c r="B421" s="84" t="s">
        <v>881</v>
      </c>
      <c r="C421" s="48" t="str">
        <f>IFERROR(__xludf.DUMMYFUNCTION("AI(""Introduce un valor adecuado para esta celda según el contexto de la tabla"")"),"QUALID")</f>
        <v>QUALID</v>
      </c>
      <c r="D421" s="18"/>
      <c r="E421" s="10"/>
      <c r="F421" s="10"/>
      <c r="G421" s="18"/>
      <c r="H421" s="38" t="s">
        <v>682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33" t="s">
        <v>32</v>
      </c>
      <c r="B422" s="84" t="s">
        <v>882</v>
      </c>
      <c r="C422" s="48" t="str">
        <f>IFERROR(__xludf.DUMMYFUNCTION("AI(""Introduce un valor adecuado para esta celda según el contexto de la tabla"")"),"QUALID")</f>
        <v>QUALID</v>
      </c>
      <c r="D422" s="18"/>
      <c r="E422" s="10"/>
      <c r="F422" s="10"/>
      <c r="G422" s="18"/>
      <c r="H422" s="38" t="s">
        <v>682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33" t="s">
        <v>32</v>
      </c>
      <c r="B423" s="84" t="s">
        <v>883</v>
      </c>
      <c r="C423" s="48" t="str">
        <f>IFERROR(__xludf.DUMMYFUNCTION("AI(""Introduce un valor adecuado para esta celda según el contexto de la tabla"")"),"QUALID")</f>
        <v>QUALID</v>
      </c>
      <c r="D423" s="18"/>
      <c r="E423" s="10"/>
      <c r="F423" s="10"/>
      <c r="G423" s="18"/>
      <c r="H423" s="38" t="s">
        <v>682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33" t="s">
        <v>32</v>
      </c>
      <c r="B424" s="84" t="s">
        <v>884</v>
      </c>
      <c r="C424" s="48" t="str">
        <f>IFERROR(__xludf.DUMMYFUNCTION("AI(""Introduce un valor adecuado para esta celda según el contexto de la tabla"")"),"QUALID")</f>
        <v>QUALID</v>
      </c>
      <c r="D424" s="18"/>
      <c r="E424" s="10"/>
      <c r="F424" s="10"/>
      <c r="G424" s="18"/>
      <c r="H424" s="38" t="s">
        <v>682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33" t="s">
        <v>32</v>
      </c>
      <c r="B425" s="84" t="s">
        <v>885</v>
      </c>
      <c r="C425" s="48" t="str">
        <f>IFERROR(__xludf.DUMMYFUNCTION("AI(""Introduce un valor adecuado para esta celda según el contexto de la tabla"")"),"QUALID")</f>
        <v>QUALID</v>
      </c>
      <c r="D425" s="18"/>
      <c r="E425" s="10"/>
      <c r="F425" s="10"/>
      <c r="G425" s="18"/>
      <c r="H425" s="38" t="s">
        <v>682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33" t="s">
        <v>32</v>
      </c>
      <c r="B426" s="84" t="s">
        <v>886</v>
      </c>
      <c r="C426" s="48" t="str">
        <f>IFERROR(__xludf.DUMMYFUNCTION("AI(""Introduce un valor adecuado para esta celda según el contexto de la tabla"")"),"QUALID")</f>
        <v>QUALID</v>
      </c>
      <c r="D426" s="18"/>
      <c r="E426" s="10"/>
      <c r="F426" s="10"/>
      <c r="G426" s="18"/>
      <c r="H426" s="38" t="s">
        <v>682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33" t="s">
        <v>32</v>
      </c>
      <c r="B427" s="84" t="s">
        <v>887</v>
      </c>
      <c r="C427" s="48" t="str">
        <f>IFERROR(__xludf.DUMMYFUNCTION("AI(""Introduce un valor adecuado para esta celda según el contexto de la tabla"")"),"QUALID")</f>
        <v>QUALID</v>
      </c>
      <c r="D427" s="18"/>
      <c r="E427" s="10"/>
      <c r="F427" s="10"/>
      <c r="G427" s="18"/>
      <c r="H427" s="38" t="s">
        <v>682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33" t="s">
        <v>32</v>
      </c>
      <c r="B428" s="84" t="s">
        <v>888</v>
      </c>
      <c r="C428" s="48" t="str">
        <f>IFERROR(__xludf.DUMMYFUNCTION("AI(""Introduce un valor adecuado para esta celda según el contexto de la tabla"")"),"QUALID")</f>
        <v>QUALID</v>
      </c>
      <c r="D428" s="18"/>
      <c r="E428" s="10"/>
      <c r="F428" s="10"/>
      <c r="G428" s="18"/>
      <c r="H428" s="38" t="s">
        <v>682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33" t="s">
        <v>32</v>
      </c>
      <c r="B429" s="84" t="s">
        <v>889</v>
      </c>
      <c r="C429" s="34" t="s">
        <v>619</v>
      </c>
      <c r="D429" s="18"/>
      <c r="E429" s="10"/>
      <c r="F429" s="10"/>
      <c r="G429" s="18"/>
      <c r="H429" s="38" t="s">
        <v>682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33" t="s">
        <v>32</v>
      </c>
      <c r="B430" s="84" t="s">
        <v>890</v>
      </c>
      <c r="C430" s="48" t="str">
        <f>IFERROR(__xludf.DUMMYFUNCTION("AI(""Introduce un valor adecuado para esta celda según el contexto de la tabla"")"),"QUALID")</f>
        <v>QUALID</v>
      </c>
      <c r="D430" s="18"/>
      <c r="E430" s="10"/>
      <c r="F430" s="10"/>
      <c r="G430" s="18"/>
      <c r="H430" s="38" t="s">
        <v>682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33" t="s">
        <v>32</v>
      </c>
      <c r="B431" s="84" t="s">
        <v>891</v>
      </c>
      <c r="C431" s="48" t="str">
        <f>IFERROR(__xludf.DUMMYFUNCTION("AI(""Introduce un valor adecuado para esta celda según el contexto de la tabla"")"),"QUALID")</f>
        <v>QUALID</v>
      </c>
      <c r="D431" s="18"/>
      <c r="E431" s="10"/>
      <c r="F431" s="10"/>
      <c r="G431" s="18"/>
      <c r="H431" s="38" t="s">
        <v>682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33" t="s">
        <v>32</v>
      </c>
      <c r="B432" s="84" t="s">
        <v>892</v>
      </c>
      <c r="C432" s="48" t="str">
        <f>IFERROR(__xludf.DUMMYFUNCTION("AI(""Introduce un valor adecuado para esta celda según el contexto de la tabla"")"),"QUALID")</f>
        <v>QUALID</v>
      </c>
      <c r="D432" s="18"/>
      <c r="E432" s="10"/>
      <c r="F432" s="10"/>
      <c r="G432" s="18"/>
      <c r="H432" s="38" t="s">
        <v>682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2" t="s">
        <v>893</v>
      </c>
      <c r="B433" s="84" t="s">
        <v>894</v>
      </c>
      <c r="C433" s="48" t="str">
        <f>IFERROR(__xludf.DUMMYFUNCTION("AI(""Introduce un valor adecuado para esta celda según el contexto de la tabla"")"),"QUALID")</f>
        <v>QUALID</v>
      </c>
      <c r="D433" s="18"/>
      <c r="E433" s="10"/>
      <c r="F433" s="10"/>
      <c r="G433" s="18"/>
      <c r="H433" s="38" t="s">
        <v>682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33" t="s">
        <v>32</v>
      </c>
      <c r="B434" s="84" t="s">
        <v>895</v>
      </c>
      <c r="C434" s="48" t="str">
        <f>IFERROR(__xludf.DUMMYFUNCTION("AI(""Introduce un valor adecuado para esta celda según el contexto de la tabla"")"),"QUALID")</f>
        <v>QUALID</v>
      </c>
      <c r="D434" s="18"/>
      <c r="E434" s="10"/>
      <c r="F434" s="10"/>
      <c r="G434" s="18"/>
      <c r="H434" s="38" t="s">
        <v>682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33" t="s">
        <v>32</v>
      </c>
      <c r="B435" s="84" t="s">
        <v>896</v>
      </c>
      <c r="C435" s="48" t="str">
        <f>IFERROR(__xludf.DUMMYFUNCTION("AI(""Introduce un valor adecuado para esta celda según el contexto de la tabla"")"),"QUALID")</f>
        <v>QUALID</v>
      </c>
      <c r="D435" s="18"/>
      <c r="E435" s="10"/>
      <c r="F435" s="10"/>
      <c r="G435" s="18"/>
      <c r="H435" s="38" t="s">
        <v>682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33" t="s">
        <v>32</v>
      </c>
      <c r="B436" s="84" t="s">
        <v>897</v>
      </c>
      <c r="C436" s="48" t="str">
        <f>IFERROR(__xludf.DUMMYFUNCTION("AI(""Introduce un valor adecuado para esta celda según el contexto de la tabla"")"),"QUALID")</f>
        <v>QUALID</v>
      </c>
      <c r="D436" s="18"/>
      <c r="E436" s="10"/>
      <c r="F436" s="10"/>
      <c r="G436" s="18"/>
      <c r="H436" s="38" t="s">
        <v>682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33" t="s">
        <v>32</v>
      </c>
      <c r="B437" s="84" t="s">
        <v>898</v>
      </c>
      <c r="C437" s="48" t="str">
        <f>IFERROR(__xludf.DUMMYFUNCTION("AI(""Introduce un valor adecuado para esta celda según el contexto de la tabla"")"),"QUALID")</f>
        <v>QUALID</v>
      </c>
      <c r="D437" s="18"/>
      <c r="E437" s="10"/>
      <c r="F437" s="10"/>
      <c r="G437" s="18"/>
      <c r="H437" s="38" t="s">
        <v>682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33" t="s">
        <v>32</v>
      </c>
      <c r="B438" s="84" t="s">
        <v>899</v>
      </c>
      <c r="C438" s="48" t="str">
        <f>IFERROR(__xludf.DUMMYFUNCTION("AI(""Introduce un valor adecuado para esta celda según el contexto de la tabla"")"),"QUALID")</f>
        <v>QUALID</v>
      </c>
      <c r="D438" s="18"/>
      <c r="E438" s="10"/>
      <c r="F438" s="10"/>
      <c r="G438" s="18"/>
      <c r="H438" s="38" t="s">
        <v>682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33" t="s">
        <v>32</v>
      </c>
      <c r="B439" s="84" t="s">
        <v>900</v>
      </c>
      <c r="C439" s="48" t="str">
        <f>IFERROR(__xludf.DUMMYFUNCTION("AI(""Introduce un valor adecuado para esta celda según el contexto de la tabla"")"),"QUALID")</f>
        <v>QUALID</v>
      </c>
      <c r="D439" s="18"/>
      <c r="E439" s="10"/>
      <c r="F439" s="10"/>
      <c r="G439" s="18"/>
      <c r="H439" s="38" t="s">
        <v>682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33" t="s">
        <v>32</v>
      </c>
      <c r="B440" s="84" t="s">
        <v>901</v>
      </c>
      <c r="C440" s="48" t="str">
        <f>IFERROR(__xludf.DUMMYFUNCTION("AI(""Introduce un valor adecuado para esta celda según el contexto de la tabla"")"),"QUALID")</f>
        <v>QUALID</v>
      </c>
      <c r="D440" s="18"/>
      <c r="E440" s="10"/>
      <c r="F440" s="10"/>
      <c r="G440" s="18"/>
      <c r="H440" s="38" t="s">
        <v>682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2" t="s">
        <v>902</v>
      </c>
      <c r="B441" s="84" t="s">
        <v>903</v>
      </c>
      <c r="C441" s="48" t="str">
        <f>IFERROR(__xludf.DUMMYFUNCTION("AI(""Introduce un valor adecuado para esta celda según el contexto de la tabla"")"),"QUALID")</f>
        <v>QUALID</v>
      </c>
      <c r="D441" s="18"/>
      <c r="E441" s="10"/>
      <c r="F441" s="10"/>
      <c r="G441" s="18"/>
      <c r="H441" s="38" t="s">
        <v>682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33" t="s">
        <v>32</v>
      </c>
      <c r="B442" s="84" t="s">
        <v>904</v>
      </c>
      <c r="C442" s="48" t="str">
        <f>IFERROR(__xludf.DUMMYFUNCTION("AI(""Introduce un valor adecuado para esta celda según el contexto de la tabla"")"),"QUALID")</f>
        <v>QUALID</v>
      </c>
      <c r="D442" s="18"/>
      <c r="E442" s="10"/>
      <c r="F442" s="10"/>
      <c r="G442" s="18"/>
      <c r="H442" s="38" t="s">
        <v>682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33" t="s">
        <v>32</v>
      </c>
      <c r="B443" s="84" t="s">
        <v>905</v>
      </c>
      <c r="C443" s="48" t="str">
        <f>IFERROR(__xludf.DUMMYFUNCTION("AI(""Introduce un valor adecuado para esta celda según el contexto de la tabla"")"),"QUALID")</f>
        <v>QUALID</v>
      </c>
      <c r="D443" s="18"/>
      <c r="E443" s="10"/>
      <c r="F443" s="10"/>
      <c r="G443" s="18"/>
      <c r="H443" s="38" t="s">
        <v>682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33" t="s">
        <v>32</v>
      </c>
      <c r="B444" s="84" t="s">
        <v>906</v>
      </c>
      <c r="C444" s="48" t="str">
        <f>IFERROR(__xludf.DUMMYFUNCTION("AI(""Introduce un valor adecuado para esta celda según el contexto de la tabla"")"),"QUALID")</f>
        <v>QUALID</v>
      </c>
      <c r="D444" s="18"/>
      <c r="E444" s="10"/>
      <c r="F444" s="10"/>
      <c r="G444" s="18"/>
      <c r="H444" s="38" t="s">
        <v>682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33" t="s">
        <v>32</v>
      </c>
      <c r="B445" s="84" t="s">
        <v>907</v>
      </c>
      <c r="C445" s="48" t="str">
        <f>IFERROR(__xludf.DUMMYFUNCTION("AI(""Introduce un valor adecuado para esta celda según el contexto de la tabla"")"),"QUALID")</f>
        <v>QUALID</v>
      </c>
      <c r="D445" s="18"/>
      <c r="E445" s="10"/>
      <c r="F445" s="10"/>
      <c r="G445" s="18"/>
      <c r="H445" s="38" t="s">
        <v>682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33" t="s">
        <v>32</v>
      </c>
      <c r="B446" s="84" t="s">
        <v>908</v>
      </c>
      <c r="C446" s="48" t="str">
        <f>IFERROR(__xludf.DUMMYFUNCTION("AI(""Introduce un valor adecuado para esta celda según el contexto de la tabla"")"),"CARDOC")</f>
        <v>CARDOC</v>
      </c>
      <c r="D446" s="18"/>
      <c r="E446" s="10"/>
      <c r="F446" s="10"/>
      <c r="G446" s="18"/>
      <c r="H446" s="38" t="s">
        <v>682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33" t="s">
        <v>32</v>
      </c>
      <c r="B447" s="84" t="s">
        <v>909</v>
      </c>
      <c r="C447" s="48" t="str">
        <f>IFERROR(__xludf.DUMMYFUNCTION("AI(""Introduce un valor adecuado para esta celda según el contexto de la tabla"")"),"CARDOC")</f>
        <v>CARDOC</v>
      </c>
      <c r="D447" s="18"/>
      <c r="E447" s="10"/>
      <c r="F447" s="10"/>
      <c r="G447" s="18"/>
      <c r="H447" s="38" t="s">
        <v>682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2" t="s">
        <v>910</v>
      </c>
      <c r="B448" s="84" t="s">
        <v>911</v>
      </c>
      <c r="C448" s="48" t="str">
        <f>IFERROR(__xludf.DUMMYFUNCTION("AI(""Introduce un valor adecuado para esta celda según el contexto de la tabla"")"),"CARDOC")</f>
        <v>CARDOC</v>
      </c>
      <c r="D448" s="18"/>
      <c r="E448" s="10"/>
      <c r="F448" s="10"/>
      <c r="G448" s="18"/>
      <c r="H448" s="38" t="s">
        <v>682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33" t="s">
        <v>32</v>
      </c>
      <c r="B449" s="84" t="s">
        <v>912</v>
      </c>
      <c r="C449" s="48" t="str">
        <f>IFERROR(__xludf.DUMMYFUNCTION("AI(""Introduce un valor adecuado para esta celda según el contexto de la tabla"")"),"CARDOC")</f>
        <v>CARDOC</v>
      </c>
      <c r="D449" s="18"/>
      <c r="E449" s="10"/>
      <c r="F449" s="10"/>
      <c r="G449" s="18"/>
      <c r="H449" s="38" t="s">
        <v>682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33" t="s">
        <v>32</v>
      </c>
      <c r="B450" s="84" t="s">
        <v>913</v>
      </c>
      <c r="C450" s="48" t="str">
        <f>IFERROR(__xludf.DUMMYFUNCTION("AI(""Introduce un valor adecuado para esta celda según el contexto de la tabla"")"),"CARDOC")</f>
        <v>CARDOC</v>
      </c>
      <c r="D450" s="18"/>
      <c r="E450" s="10"/>
      <c r="F450" s="10"/>
      <c r="G450" s="18"/>
      <c r="H450" s="38" t="s">
        <v>682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33" t="s">
        <v>32</v>
      </c>
      <c r="B451" s="84" t="s">
        <v>914</v>
      </c>
      <c r="C451" s="48" t="str">
        <f>IFERROR(__xludf.DUMMYFUNCTION("AI(""Introduce un valor adecuado para esta celda según el contexto de la tabla"")"),"CARDOC")</f>
        <v>CARDOC</v>
      </c>
      <c r="D451" s="18"/>
      <c r="E451" s="10"/>
      <c r="F451" s="10"/>
      <c r="G451" s="18"/>
      <c r="H451" s="38" t="s">
        <v>682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2" t="s">
        <v>915</v>
      </c>
      <c r="B452" s="84" t="s">
        <v>916</v>
      </c>
      <c r="C452" s="48" t="str">
        <f>IFERROR(__xludf.DUMMYFUNCTION("AI(""Introduce un valor adecuado para esta celda según el contexto de la tabla"")"),"CARDOC")</f>
        <v>CARDOC</v>
      </c>
      <c r="D452" s="18"/>
      <c r="E452" s="10"/>
      <c r="F452" s="10"/>
      <c r="G452" s="18"/>
      <c r="H452" s="38" t="s">
        <v>682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33" t="s">
        <v>32</v>
      </c>
      <c r="B453" s="84" t="s">
        <v>917</v>
      </c>
      <c r="C453" s="48" t="str">
        <f>IFERROR(__xludf.DUMMYFUNCTION("AI(""Introduce un valor adecuado para esta celda según el contexto de la tabla"")"),"CARDOC")</f>
        <v>CARDOC</v>
      </c>
      <c r="D453" s="18"/>
      <c r="E453" s="10"/>
      <c r="F453" s="10"/>
      <c r="G453" s="18"/>
      <c r="H453" s="38" t="s">
        <v>682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33" t="s">
        <v>32</v>
      </c>
      <c r="B454" s="84" t="s">
        <v>918</v>
      </c>
      <c r="C454" s="48" t="str">
        <f>IFERROR(__xludf.DUMMYFUNCTION("AI(""Introduce un valor adecuado para esta celda según el contexto de la tabla"")"),"CARDOC")</f>
        <v>CARDOC</v>
      </c>
      <c r="D454" s="18"/>
      <c r="E454" s="10"/>
      <c r="F454" s="10"/>
      <c r="G454" s="18"/>
      <c r="H454" s="38" t="s">
        <v>682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33" t="s">
        <v>32</v>
      </c>
      <c r="B455" s="84" t="s">
        <v>919</v>
      </c>
      <c r="C455" s="48" t="str">
        <f>IFERROR(__xludf.DUMMYFUNCTION("AI(""Introduce un valor adecuado para esta celda según el contexto de la tabla"")"),"CARDOC")</f>
        <v>CARDOC</v>
      </c>
      <c r="D455" s="18"/>
      <c r="E455" s="10"/>
      <c r="F455" s="10"/>
      <c r="G455" s="18"/>
      <c r="H455" s="38" t="s">
        <v>682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33" t="s">
        <v>32</v>
      </c>
      <c r="B456" s="84" t="s">
        <v>921</v>
      </c>
      <c r="C456" s="48" t="str">
        <f>IFERROR(__xludf.DUMMYFUNCTION("AI(""Introduce un valor adecuado para esta celda según el contexto de la tabla"")"),"CARDOC")</f>
        <v>CARDOC</v>
      </c>
      <c r="D456" s="18"/>
      <c r="E456" s="10"/>
      <c r="F456" s="10"/>
      <c r="G456" s="18"/>
      <c r="H456" s="38" t="s">
        <v>682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33" t="s">
        <v>32</v>
      </c>
      <c r="B457" s="84" t="s">
        <v>922</v>
      </c>
      <c r="C457" s="48" t="str">
        <f>IFERROR(__xludf.DUMMYFUNCTION("AI(""Introduce un valor adecuado para esta celda según el contexto de la tabla"")"),"CARDOC")</f>
        <v>CARDOC</v>
      </c>
      <c r="D457" s="18"/>
      <c r="E457" s="10"/>
      <c r="F457" s="10"/>
      <c r="G457" s="18"/>
      <c r="H457" s="38" t="s">
        <v>682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33" t="s">
        <v>32</v>
      </c>
      <c r="B458" s="84" t="s">
        <v>923</v>
      </c>
      <c r="C458" s="48" t="str">
        <f>IFERROR(__xludf.DUMMYFUNCTION("AI(""Introduce un valor adecuado para esta celda según el contexto de la tabla"")"),"CARDOC")</f>
        <v>CARDOC</v>
      </c>
      <c r="D458" s="18"/>
      <c r="E458" s="10"/>
      <c r="F458" s="10"/>
      <c r="G458" s="18"/>
      <c r="H458" s="38" t="s">
        <v>682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33" t="s">
        <v>32</v>
      </c>
      <c r="B459" s="84" t="s">
        <v>924</v>
      </c>
      <c r="C459" s="48" t="str">
        <f>IFERROR(__xludf.DUMMYFUNCTION("AI(""Introduce un valor adecuado para esta celda según el contexto de la tabla"")"),"CARDOC")</f>
        <v>CARDOC</v>
      </c>
      <c r="D459" s="18"/>
      <c r="E459" s="10"/>
      <c r="F459" s="10"/>
      <c r="G459" s="18"/>
      <c r="H459" s="38" t="s">
        <v>682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33" t="s">
        <v>32</v>
      </c>
      <c r="B460" s="84" t="s">
        <v>925</v>
      </c>
      <c r="C460" s="48" t="str">
        <f>IFERROR(__xludf.DUMMYFUNCTION("AI(""Introduce un valor adecuado para esta celda según el contexto de la tabla"")"),"CARDOC")</f>
        <v>CARDOC</v>
      </c>
      <c r="D460" s="18"/>
      <c r="E460" s="10"/>
      <c r="F460" s="10"/>
      <c r="G460" s="18"/>
      <c r="H460" s="38" t="s">
        <v>682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33" t="s">
        <v>32</v>
      </c>
      <c r="B461" s="84" t="s">
        <v>926</v>
      </c>
      <c r="C461" s="48" t="str">
        <f>IFERROR(__xludf.DUMMYFUNCTION("AI(""Introduce un valor adecuado para esta celda según el contexto de la tabla"")"),"CARDOC")</f>
        <v>CARDOC</v>
      </c>
      <c r="D461" s="18"/>
      <c r="E461" s="10"/>
      <c r="F461" s="10"/>
      <c r="G461" s="18"/>
      <c r="H461" s="38" t="s">
        <v>682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33" t="s">
        <v>32</v>
      </c>
      <c r="B462" s="84" t="s">
        <v>927</v>
      </c>
      <c r="C462" s="48" t="str">
        <f>IFERROR(__xludf.DUMMYFUNCTION("AI(""Introduce un valor adecuado para esta celda según el contexto de la tabla"")"),"CARDOC")</f>
        <v>CARDOC</v>
      </c>
      <c r="D462" s="18"/>
      <c r="E462" s="10"/>
      <c r="F462" s="10"/>
      <c r="G462" s="18"/>
      <c r="H462" s="38" t="s">
        <v>682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2" t="s">
        <v>928</v>
      </c>
      <c r="B463" s="84" t="s">
        <v>929</v>
      </c>
      <c r="C463" s="48" t="str">
        <f>IFERROR(__xludf.DUMMYFUNCTION("AI(""Introduce un valor adecuado para esta celda según el contexto de la tabla"")"),"CARDOC")</f>
        <v>CARDOC</v>
      </c>
      <c r="D463" s="18"/>
      <c r="E463" s="10"/>
      <c r="F463" s="10"/>
      <c r="G463" s="18"/>
      <c r="H463" s="38" t="s">
        <v>682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33" t="s">
        <v>32</v>
      </c>
      <c r="B464" s="84" t="s">
        <v>930</v>
      </c>
      <c r="C464" s="48" t="str">
        <f>IFERROR(__xludf.DUMMYFUNCTION("AI(""Introduce un valor adecuado para esta celda según el contexto de la tabla"")"),"CARDOC")</f>
        <v>CARDOC</v>
      </c>
      <c r="D464" s="18"/>
      <c r="E464" s="10"/>
      <c r="F464" s="10"/>
      <c r="G464" s="18"/>
      <c r="H464" s="38" t="s">
        <v>682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33" t="s">
        <v>32</v>
      </c>
      <c r="B465" s="84" t="s">
        <v>931</v>
      </c>
      <c r="C465" s="48" t="str">
        <f>IFERROR(__xludf.DUMMYFUNCTION("AI(""Introduce un valor adecuado para esta celda según el contexto de la tabla"")"),"CARDOC")</f>
        <v>CARDOC</v>
      </c>
      <c r="D465" s="18"/>
      <c r="E465" s="10"/>
      <c r="F465" s="10"/>
      <c r="G465" s="18"/>
      <c r="H465" s="38" t="s">
        <v>682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33" t="s">
        <v>32</v>
      </c>
      <c r="B466" s="84" t="s">
        <v>932</v>
      </c>
      <c r="C466" s="48" t="str">
        <f>IFERROR(__xludf.DUMMYFUNCTION("AI(""Introduce un valor adecuado para esta celda según el contexto de la tabla"")"),"CARDOC")</f>
        <v>CARDOC</v>
      </c>
      <c r="D466" s="18"/>
      <c r="E466" s="10"/>
      <c r="F466" s="10"/>
      <c r="G466" s="18"/>
      <c r="H466" s="38" t="s">
        <v>682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33" t="s">
        <v>32</v>
      </c>
      <c r="B467" s="84" t="s">
        <v>933</v>
      </c>
      <c r="C467" s="48" t="str">
        <f>IFERROR(__xludf.DUMMYFUNCTION("AI(""Introduce un valor adecuado para esta celda según el contexto de la tabla"")"),"CARDOC")</f>
        <v>CARDOC</v>
      </c>
      <c r="D467" s="18"/>
      <c r="E467" s="10"/>
      <c r="F467" s="10"/>
      <c r="G467" s="18"/>
      <c r="H467" s="38" t="s">
        <v>682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33" t="s">
        <v>32</v>
      </c>
      <c r="B468" s="84" t="s">
        <v>934</v>
      </c>
      <c r="C468" s="48" t="str">
        <f>IFERROR(__xludf.DUMMYFUNCTION("AI(""Introduce un valor adecuado para esta celda según el contexto de la tabla"")"),"CARDOC")</f>
        <v>CARDOC</v>
      </c>
      <c r="D468" s="18"/>
      <c r="E468" s="10"/>
      <c r="F468" s="10"/>
      <c r="G468" s="18"/>
      <c r="H468" s="38" t="s">
        <v>682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2" t="s">
        <v>935</v>
      </c>
      <c r="B469" s="84" t="s">
        <v>936</v>
      </c>
      <c r="C469" s="48" t="str">
        <f>IFERROR(__xludf.DUMMYFUNCTION("AI(""Introduce un valor adecuado para esta celda según el contexto de la tabla"")"),"CARDOC")</f>
        <v>CARDOC</v>
      </c>
      <c r="D469" s="18"/>
      <c r="E469" s="10"/>
      <c r="F469" s="10"/>
      <c r="G469" s="18"/>
      <c r="H469" s="38" t="s">
        <v>682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33" t="s">
        <v>32</v>
      </c>
      <c r="B470" s="84" t="s">
        <v>938</v>
      </c>
      <c r="C470" s="48" t="str">
        <f>IFERROR(__xludf.DUMMYFUNCTION("AI(""Introduce un valor adecuado para esta celda según el contexto de la tabla"")"),"CARDOC")</f>
        <v>CARDOC</v>
      </c>
      <c r="D470" s="18"/>
      <c r="E470" s="10"/>
      <c r="F470" s="10"/>
      <c r="G470" s="18"/>
      <c r="H470" s="38" t="s">
        <v>682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33" t="s">
        <v>32</v>
      </c>
      <c r="B471" s="84" t="s">
        <v>939</v>
      </c>
      <c r="C471" s="48" t="str">
        <f>IFERROR(__xludf.DUMMYFUNCTION("AI(""Introduce un valor adecuado para esta celda según el contexto de la tabla"")"),"CARDOC")</f>
        <v>CARDOC</v>
      </c>
      <c r="D471" s="18"/>
      <c r="E471" s="10"/>
      <c r="F471" s="10"/>
      <c r="G471" s="18"/>
      <c r="H471" s="38" t="s">
        <v>682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33" t="s">
        <v>32</v>
      </c>
      <c r="B472" s="84" t="s">
        <v>940</v>
      </c>
      <c r="C472" s="48" t="str">
        <f>IFERROR(__xludf.DUMMYFUNCTION("AI(""Introduce un valor adecuado para esta celda según el contexto de la tabla"")"),"CARDOC")</f>
        <v>CARDOC</v>
      </c>
      <c r="D472" s="18"/>
      <c r="E472" s="10"/>
      <c r="F472" s="10"/>
      <c r="G472" s="18"/>
      <c r="H472" s="38" t="s">
        <v>682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33" t="s">
        <v>32</v>
      </c>
      <c r="B473" s="84" t="s">
        <v>941</v>
      </c>
      <c r="C473" s="48" t="str">
        <f>IFERROR(__xludf.DUMMYFUNCTION("AI(""Introduce un valor adecuado para esta celda según el contexto de la tabla"")"),"CARDOC")</f>
        <v>CARDOC</v>
      </c>
      <c r="D473" s="18"/>
      <c r="E473" s="10"/>
      <c r="F473" s="10"/>
      <c r="G473" s="18"/>
      <c r="H473" s="38" t="s">
        <v>682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33" t="s">
        <v>32</v>
      </c>
      <c r="B474" s="84" t="s">
        <v>942</v>
      </c>
      <c r="C474" s="48" t="str">
        <f>IFERROR(__xludf.DUMMYFUNCTION("AI(""Introduce un valor adecuado para esta celda según el contexto de la tabla"")"),"CARDOC")</f>
        <v>CARDOC</v>
      </c>
      <c r="D474" s="18"/>
      <c r="E474" s="10"/>
      <c r="F474" s="10"/>
      <c r="G474" s="18"/>
      <c r="H474" s="38" t="s">
        <v>682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2" t="s">
        <v>943</v>
      </c>
      <c r="B475" s="84" t="s">
        <v>944</v>
      </c>
      <c r="C475" s="48" t="str">
        <f>IFERROR(__xludf.DUMMYFUNCTION("AI(""Introduce un valor adecuado para esta celda según el contexto de la tabla"")"),"CARDOC")</f>
        <v>CARDOC</v>
      </c>
      <c r="D475" s="18"/>
      <c r="E475" s="10"/>
      <c r="F475" s="10"/>
      <c r="G475" s="18"/>
      <c r="H475" s="38" t="s">
        <v>682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2" t="s">
        <v>945</v>
      </c>
      <c r="B476" s="84" t="s">
        <v>946</v>
      </c>
      <c r="C476" s="48" t="str">
        <f>IFERROR(__xludf.DUMMYFUNCTION("AI(""Introduce un valor adecuado para esta celda según el contexto de la tabla"")"),"CARDOC")</f>
        <v>CARDOC</v>
      </c>
      <c r="D476" s="18"/>
      <c r="E476" s="10"/>
      <c r="F476" s="10"/>
      <c r="G476" s="18"/>
      <c r="H476" s="38" t="s">
        <v>682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2" t="s">
        <v>947</v>
      </c>
      <c r="B477" s="84" t="s">
        <v>948</v>
      </c>
      <c r="C477" s="48" t="str">
        <f>IFERROR(__xludf.DUMMYFUNCTION("AI(""Introduce un valor adecuado para esta celda según el contexto de la tabla"")"),"CARDOC")</f>
        <v>CARDOC</v>
      </c>
      <c r="D477" s="18"/>
      <c r="E477" s="10"/>
      <c r="F477" s="10"/>
      <c r="G477" s="18"/>
      <c r="H477" s="38" t="s">
        <v>682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33" t="s">
        <v>32</v>
      </c>
      <c r="B478" s="84" t="s">
        <v>949</v>
      </c>
      <c r="C478" s="48" t="str">
        <f>IFERROR(__xludf.DUMMYFUNCTION("AI(""Introduce un valor adecuado para esta celda según el contexto de la tabla"")"),"CARDOC")</f>
        <v>CARDOC</v>
      </c>
      <c r="D478" s="18"/>
      <c r="E478" s="10"/>
      <c r="F478" s="10"/>
      <c r="G478" s="18"/>
      <c r="H478" s="38" t="s">
        <v>682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33" t="s">
        <v>32</v>
      </c>
      <c r="B479" s="84" t="s">
        <v>950</v>
      </c>
      <c r="C479" s="48" t="str">
        <f>IFERROR(__xludf.DUMMYFUNCTION("AI(""Introduce un valor adecuado para esta celda según el contexto de la tabla"")"),"CARDOC")</f>
        <v>CARDOC</v>
      </c>
      <c r="D479" s="18"/>
      <c r="E479" s="10"/>
      <c r="F479" s="10"/>
      <c r="G479" s="18"/>
      <c r="H479" s="38" t="s">
        <v>682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33" t="s">
        <v>32</v>
      </c>
      <c r="B480" s="84" t="s">
        <v>951</v>
      </c>
      <c r="C480" s="48" t="str">
        <f>IFERROR(__xludf.DUMMYFUNCTION("AI(""Introduce un valor adecuado para esta celda según el contexto de la tabla"")"),"CARDOC")</f>
        <v>CARDOC</v>
      </c>
      <c r="D480" s="18"/>
      <c r="E480" s="10"/>
      <c r="F480" s="10"/>
      <c r="G480" s="18"/>
      <c r="H480" s="38" t="s">
        <v>682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33" t="s">
        <v>32</v>
      </c>
      <c r="B481" s="84" t="s">
        <v>952</v>
      </c>
      <c r="C481" s="48" t="str">
        <f>IFERROR(__xludf.DUMMYFUNCTION("AI(""Introduce un valor adecuado para esta celda según el contexto de la tabla"")"),"CARDOC")</f>
        <v>CARDOC</v>
      </c>
      <c r="D481" s="18"/>
      <c r="E481" s="10"/>
      <c r="F481" s="10"/>
      <c r="G481" s="18"/>
      <c r="H481" s="38" t="s">
        <v>682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33" t="s">
        <v>32</v>
      </c>
      <c r="B482" s="84" t="s">
        <v>953</v>
      </c>
      <c r="C482" s="48" t="str">
        <f>IFERROR(__xludf.DUMMYFUNCTION("AI(""Introduce un valor adecuado para esta celda según el contexto de la tabla"")"),"CARDOC")</f>
        <v>CARDOC</v>
      </c>
      <c r="D482" s="18"/>
      <c r="E482" s="10"/>
      <c r="F482" s="10"/>
      <c r="G482" s="18"/>
      <c r="H482" s="38" t="s">
        <v>682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33" t="s">
        <v>32</v>
      </c>
      <c r="B483" s="84" t="s">
        <v>954</v>
      </c>
      <c r="C483" s="48" t="str">
        <f>IFERROR(__xludf.DUMMYFUNCTION("AI(""Introduce un valor adecuado para esta celda según el contexto de la tabla"")"),"CARDOC")</f>
        <v>CARDOC</v>
      </c>
      <c r="D483" s="18"/>
      <c r="E483" s="10"/>
      <c r="F483" s="10"/>
      <c r="G483" s="18"/>
      <c r="H483" s="38" t="s">
        <v>682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33" t="s">
        <v>32</v>
      </c>
      <c r="B484" s="84" t="s">
        <v>955</v>
      </c>
      <c r="C484" s="48" t="str">
        <f>IFERROR(__xludf.DUMMYFUNCTION("AI(""Introduce un valor adecuado para esta celda según el contexto de la tabla"")"),"CARDOC")</f>
        <v>CARDOC</v>
      </c>
      <c r="D484" s="18"/>
      <c r="E484" s="10"/>
      <c r="F484" s="10"/>
      <c r="G484" s="18"/>
      <c r="H484" s="38" t="s">
        <v>682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33" t="s">
        <v>32</v>
      </c>
      <c r="B485" s="84" t="s">
        <v>956</v>
      </c>
      <c r="C485" s="48" t="str">
        <f>IFERROR(__xludf.DUMMYFUNCTION("AI(""Introduce un valor adecuado para esta celda según el contexto de la tabla"")"),"CARDOC")</f>
        <v>CARDOC</v>
      </c>
      <c r="D485" s="18"/>
      <c r="E485" s="10"/>
      <c r="F485" s="10"/>
      <c r="G485" s="18"/>
      <c r="H485" s="38" t="s">
        <v>682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33" t="s">
        <v>32</v>
      </c>
      <c r="B486" s="84" t="s">
        <v>957</v>
      </c>
      <c r="C486" s="48" t="str">
        <f>IFERROR(__xludf.DUMMYFUNCTION("AI(""Introduce un valor adecuado para esta celda según el contexto de la tabla"")"),"CARDOC")</f>
        <v>CARDOC</v>
      </c>
      <c r="D486" s="18"/>
      <c r="E486" s="10"/>
      <c r="F486" s="10"/>
      <c r="G486" s="18"/>
      <c r="H486" s="38" t="s">
        <v>682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33" t="s">
        <v>32</v>
      </c>
      <c r="B487" s="84" t="s">
        <v>958</v>
      </c>
      <c r="C487" s="48" t="str">
        <f>IFERROR(__xludf.DUMMYFUNCTION("AI(""Introduce un valor adecuado para esta celda según el contexto de la tabla"")"),"CARDOC")</f>
        <v>CARDOC</v>
      </c>
      <c r="D487" s="18"/>
      <c r="E487" s="10"/>
      <c r="F487" s="10"/>
      <c r="G487" s="18"/>
      <c r="H487" s="38" t="s">
        <v>682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33" t="s">
        <v>32</v>
      </c>
      <c r="B488" s="84" t="s">
        <v>959</v>
      </c>
      <c r="C488" s="48" t="str">
        <f>IFERROR(__xludf.DUMMYFUNCTION("AI(""Introduce un valor adecuado para esta celda según el contexto de la tabla"")"),"CARDOC")</f>
        <v>CARDOC</v>
      </c>
      <c r="D488" s="18"/>
      <c r="E488" s="10"/>
      <c r="F488" s="10"/>
      <c r="G488" s="18"/>
      <c r="H488" s="38" t="s">
        <v>682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33" t="s">
        <v>32</v>
      </c>
      <c r="B489" s="84" t="s">
        <v>960</v>
      </c>
      <c r="C489" s="48" t="str">
        <f>IFERROR(__xludf.DUMMYFUNCTION("AI(""Introduce un valor adecuado para esta celda según el contexto de la tabla"")"),"CARDOC")</f>
        <v>CARDOC</v>
      </c>
      <c r="D489" s="18"/>
      <c r="E489" s="10"/>
      <c r="F489" s="10"/>
      <c r="G489" s="18"/>
      <c r="H489" s="38" t="s">
        <v>682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33" t="s">
        <v>32</v>
      </c>
      <c r="B490" s="84" t="s">
        <v>961</v>
      </c>
      <c r="C490" s="48" t="str">
        <f>IFERROR(__xludf.DUMMYFUNCTION("AI(""Introduce un valor adecuado para esta celda según el contexto de la tabla"")"),"CARDOC")</f>
        <v>CARDOC</v>
      </c>
      <c r="D490" s="18"/>
      <c r="E490" s="10"/>
      <c r="F490" s="10"/>
      <c r="G490" s="18"/>
      <c r="H490" s="38" t="s">
        <v>682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33" t="s">
        <v>32</v>
      </c>
      <c r="B491" s="84" t="s">
        <v>962</v>
      </c>
      <c r="C491" s="48" t="str">
        <f>IFERROR(__xludf.DUMMYFUNCTION("AI(""Introduce un valor adecuado para esta celda según el contexto de la tabla"")"),"CARDOC")</f>
        <v>CARDOC</v>
      </c>
      <c r="D491" s="18"/>
      <c r="E491" s="10"/>
      <c r="F491" s="10"/>
      <c r="G491" s="18"/>
      <c r="H491" s="38" t="s">
        <v>682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33" t="s">
        <v>32</v>
      </c>
      <c r="B492" s="84" t="s">
        <v>963</v>
      </c>
      <c r="C492" s="48" t="str">
        <f>IFERROR(__xludf.DUMMYFUNCTION("AI(""Introduce un valor adecuado para esta celda según el contexto de la tabla"")"),"CARDOC")</f>
        <v>CARDOC</v>
      </c>
      <c r="D492" s="18"/>
      <c r="E492" s="10"/>
      <c r="F492" s="10"/>
      <c r="G492" s="18"/>
      <c r="H492" s="38" t="s">
        <v>682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33" t="s">
        <v>32</v>
      </c>
      <c r="B493" s="84" t="s">
        <v>964</v>
      </c>
      <c r="C493" s="48" t="str">
        <f>IFERROR(__xludf.DUMMYFUNCTION("AI(""Introduce un valor adecuado para esta celda según el contexto de la tabla"")"),"VEGA")</f>
        <v>VEGA</v>
      </c>
      <c r="D493" s="18"/>
      <c r="E493" s="10"/>
      <c r="F493" s="10"/>
      <c r="G493" s="18"/>
      <c r="H493" s="38" t="s">
        <v>682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33" t="s">
        <v>32</v>
      </c>
      <c r="B494" s="84" t="s">
        <v>965</v>
      </c>
      <c r="C494" s="48" t="str">
        <f>IFERROR(__xludf.DUMMYFUNCTION("AI(""Introduce un valor adecuado para esta celda según el contexto de la tabla"")"),"VEGA")</f>
        <v>VEGA</v>
      </c>
      <c r="D494" s="18"/>
      <c r="E494" s="10"/>
      <c r="F494" s="10"/>
      <c r="G494" s="18"/>
      <c r="H494" s="38" t="s">
        <v>682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33" t="s">
        <v>32</v>
      </c>
      <c r="B495" s="84" t="s">
        <v>966</v>
      </c>
      <c r="C495" s="48" t="str">
        <f>IFERROR(__xludf.DUMMYFUNCTION("AI(""Introduce un valor adecuado para esta celda según el contexto de la tabla"")"),"VEGA")</f>
        <v>VEGA</v>
      </c>
      <c r="D495" s="18"/>
      <c r="E495" s="10"/>
      <c r="F495" s="10"/>
      <c r="G495" s="18"/>
      <c r="H495" s="38" t="s">
        <v>682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33" t="s">
        <v>32</v>
      </c>
      <c r="B496" s="84" t="s">
        <v>967</v>
      </c>
      <c r="C496" s="48" t="str">
        <f>IFERROR(__xludf.DUMMYFUNCTION("AI(""Introduce un valor adecuado para esta celda según el contexto de la tabla"")"),"VEGA")</f>
        <v>VEGA</v>
      </c>
      <c r="D496" s="18"/>
      <c r="E496" s="10"/>
      <c r="F496" s="10"/>
      <c r="G496" s="18"/>
      <c r="H496" s="38" t="s">
        <v>682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33" t="s">
        <v>32</v>
      </c>
      <c r="B497" s="84" t="s">
        <v>968</v>
      </c>
      <c r="C497" s="48" t="str">
        <f>IFERROR(__xludf.DUMMYFUNCTION("AI(""Introduce un valor adecuado para esta celda según el contexto de la tabla"")"),"VEGA")</f>
        <v>VEGA</v>
      </c>
      <c r="D497" s="18"/>
      <c r="E497" s="10"/>
      <c r="F497" s="10"/>
      <c r="G497" s="18"/>
      <c r="H497" s="38" t="s">
        <v>682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33" t="s">
        <v>32</v>
      </c>
      <c r="B498" s="84" t="s">
        <v>970</v>
      </c>
      <c r="C498" s="48" t="str">
        <f>IFERROR(__xludf.DUMMYFUNCTION("AI(""Introduce un valor adecuado para esta celda según el contexto de la tabla"")"),"VEGA")</f>
        <v>VEGA</v>
      </c>
      <c r="D498" s="18"/>
      <c r="E498" s="10"/>
      <c r="F498" s="10"/>
      <c r="G498" s="18"/>
      <c r="H498" s="38" t="s">
        <v>682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33" t="s">
        <v>32</v>
      </c>
      <c r="B499" s="84" t="s">
        <v>972</v>
      </c>
      <c r="C499" s="48" t="str">
        <f>IFERROR(__xludf.DUMMYFUNCTION("AI(""Introduce un valor adecuado para esta celda según el contexto de la tabla"")"),"VEGA")</f>
        <v>VEGA</v>
      </c>
      <c r="D499" s="18"/>
      <c r="E499" s="10"/>
      <c r="F499" s="10"/>
      <c r="G499" s="18"/>
      <c r="H499" s="38" t="s">
        <v>682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33" t="s">
        <v>32</v>
      </c>
      <c r="B500" s="84" t="s">
        <v>973</v>
      </c>
      <c r="C500" s="48" t="str">
        <f>IFERROR(__xludf.DUMMYFUNCTION("AI(""Introduce un valor adecuado para esta celda según el contexto de la tabla"")"),"VEGA")</f>
        <v>VEGA</v>
      </c>
      <c r="D500" s="18"/>
      <c r="E500" s="10"/>
      <c r="F500" s="10"/>
      <c r="G500" s="18"/>
      <c r="H500" s="38" t="s">
        <v>682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33" t="s">
        <v>32</v>
      </c>
      <c r="B501" s="84" t="s">
        <v>975</v>
      </c>
      <c r="C501" s="48" t="str">
        <f>IFERROR(__xludf.DUMMYFUNCTION("AI(""Introduce un valor adecuado para esta celda según el contexto de la tabla"")"),"VEGA")</f>
        <v>VEGA</v>
      </c>
      <c r="D501" s="18"/>
      <c r="E501" s="10"/>
      <c r="F501" s="10"/>
      <c r="G501" s="18"/>
      <c r="H501" s="38" t="s">
        <v>682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33" t="s">
        <v>32</v>
      </c>
      <c r="B502" s="84" t="s">
        <v>976</v>
      </c>
      <c r="C502" s="48" t="str">
        <f>IFERROR(__xludf.DUMMYFUNCTION("AI(""Introduce un valor adecuado para esta celda según el contexto de la tabla"")"),"VEGA")</f>
        <v>VEGA</v>
      </c>
      <c r="D502" s="18"/>
      <c r="E502" s="10"/>
      <c r="F502" s="10"/>
      <c r="G502" s="18"/>
      <c r="H502" s="38" t="s">
        <v>682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33" t="s">
        <v>32</v>
      </c>
      <c r="B503" s="84" t="s">
        <v>977</v>
      </c>
      <c r="C503" s="48" t="str">
        <f>IFERROR(__xludf.DUMMYFUNCTION("AI(""Introduce un valor adecuado para esta celda según el contexto de la tabla"")"),"VEGA")</f>
        <v>VEGA</v>
      </c>
      <c r="D503" s="18"/>
      <c r="E503" s="10"/>
      <c r="F503" s="10"/>
      <c r="G503" s="18"/>
      <c r="H503" s="38" t="s">
        <v>682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33" t="s">
        <v>32</v>
      </c>
      <c r="B504" s="84" t="s">
        <v>978</v>
      </c>
      <c r="C504" s="48" t="str">
        <f>IFERROR(__xludf.DUMMYFUNCTION("AI(""Introduce un valor adecuado para esta celda según el contexto de la tabla"")"),"VEGA")</f>
        <v>VEGA</v>
      </c>
      <c r="D504" s="18"/>
      <c r="E504" s="10"/>
      <c r="F504" s="10"/>
      <c r="G504" s="18"/>
      <c r="H504" s="38" t="s">
        <v>682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33" t="s">
        <v>32</v>
      </c>
      <c r="B505" s="84" t="s">
        <v>979</v>
      </c>
      <c r="C505" s="48" t="str">
        <f>IFERROR(__xludf.DUMMYFUNCTION("AI(""Introduce un valor adecuado para esta celda según el contexto de la tabla"")"),"VEGA")</f>
        <v>VEGA</v>
      </c>
      <c r="D505" s="18"/>
      <c r="E505" s="10"/>
      <c r="F505" s="10"/>
      <c r="G505" s="18"/>
      <c r="H505" s="38" t="s">
        <v>682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33" t="s">
        <v>32</v>
      </c>
      <c r="B506" s="84" t="s">
        <v>981</v>
      </c>
      <c r="C506" s="48" t="str">
        <f>IFERROR(__xludf.DUMMYFUNCTION("AI(""Introduce un valor adecuado para esta celda según el contexto de la tabla"")"),"VEGA")</f>
        <v>VEGA</v>
      </c>
      <c r="D506" s="18"/>
      <c r="E506" s="10"/>
      <c r="F506" s="10"/>
      <c r="G506" s="18"/>
      <c r="H506" s="38" t="s">
        <v>682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2" t="s">
        <v>982</v>
      </c>
      <c r="B507" s="84" t="s">
        <v>983</v>
      </c>
      <c r="C507" s="48" t="str">
        <f>IFERROR(__xludf.DUMMYFUNCTION("AI(""Introduce un valor adecuado para esta celda según el contexto de la tabla"")"),"VEGA")</f>
        <v>VEGA</v>
      </c>
      <c r="D507" s="18"/>
      <c r="E507" s="10"/>
      <c r="F507" s="10"/>
      <c r="G507" s="18"/>
      <c r="H507" s="38" t="s">
        <v>682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33" t="s">
        <v>32</v>
      </c>
      <c r="B508" s="84" t="s">
        <v>984</v>
      </c>
      <c r="C508" s="48" t="str">
        <f>IFERROR(__xludf.DUMMYFUNCTION("AI(""Introduce un valor adecuado para esta celda según el contexto de la tabla"")"),"VEGA")</f>
        <v>VEGA</v>
      </c>
      <c r="D508" s="18"/>
      <c r="E508" s="10"/>
      <c r="F508" s="10"/>
      <c r="G508" s="18"/>
      <c r="H508" s="38" t="s">
        <v>682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2" t="s">
        <v>985</v>
      </c>
      <c r="B509" s="84" t="s">
        <v>986</v>
      </c>
      <c r="C509" s="48" t="str">
        <f>IFERROR(__xludf.DUMMYFUNCTION("AI(""Introduce un valor adecuado para esta celda según el contexto de la tabla"")"),"VEGA")</f>
        <v>VEGA</v>
      </c>
      <c r="D509" s="18"/>
      <c r="E509" s="10"/>
      <c r="F509" s="10"/>
      <c r="G509" s="18"/>
      <c r="H509" s="38" t="s">
        <v>682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33" t="s">
        <v>32</v>
      </c>
      <c r="B510" s="84" t="s">
        <v>987</v>
      </c>
      <c r="C510" s="48" t="str">
        <f>IFERROR(__xludf.DUMMYFUNCTION("AI(""Introduce un valor adecuado para esta celda según el contexto de la tabla"")"),"VEGA")</f>
        <v>VEGA</v>
      </c>
      <c r="D510" s="18"/>
      <c r="E510" s="10"/>
      <c r="F510" s="10"/>
      <c r="G510" s="18"/>
      <c r="H510" s="38" t="s">
        <v>682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33" t="s">
        <v>32</v>
      </c>
      <c r="B511" s="84" t="s">
        <v>988</v>
      </c>
      <c r="C511" s="48" t="str">
        <f>IFERROR(__xludf.DUMMYFUNCTION("AI(""Introduce un valor adecuado para esta celda según el contexto de la tabla"")"),"VEGA")</f>
        <v>VEGA</v>
      </c>
      <c r="D511" s="18"/>
      <c r="E511" s="10"/>
      <c r="F511" s="10"/>
      <c r="G511" s="18"/>
      <c r="H511" s="38" t="s">
        <v>682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33" t="s">
        <v>32</v>
      </c>
      <c r="B512" s="84" t="s">
        <v>989</v>
      </c>
      <c r="C512" s="48" t="str">
        <f>IFERROR(__xludf.DUMMYFUNCTION("AI(""Introduce un valor adecuado para esta celda según el contexto de la tabla"")"),"VEGA")</f>
        <v>VEGA</v>
      </c>
      <c r="D512" s="18"/>
      <c r="E512" s="10"/>
      <c r="F512" s="10"/>
      <c r="G512" s="18"/>
      <c r="H512" s="38" t="s">
        <v>682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33" t="s">
        <v>32</v>
      </c>
      <c r="B513" s="84" t="s">
        <v>990</v>
      </c>
      <c r="C513" s="48" t="str">
        <f>IFERROR(__xludf.DUMMYFUNCTION("AI(""Introduce un valor adecuado para esta celda según el contexto de la tabla"")"),"VEGA")</f>
        <v>VEGA</v>
      </c>
      <c r="D513" s="18"/>
      <c r="E513" s="10"/>
      <c r="F513" s="10"/>
      <c r="G513" s="18"/>
      <c r="H513" s="38" t="s">
        <v>682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33" t="s">
        <v>32</v>
      </c>
      <c r="B514" s="84" t="s">
        <v>991</v>
      </c>
      <c r="C514" s="48" t="str">
        <f>IFERROR(__xludf.DUMMYFUNCTION("AI(""Introduce un valor adecuado para esta celda según el contexto de la tabla"")"),"VEGA")</f>
        <v>VEGA</v>
      </c>
      <c r="D514" s="18"/>
      <c r="E514" s="10"/>
      <c r="F514" s="10"/>
      <c r="G514" s="18"/>
      <c r="H514" s="38" t="s">
        <v>682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33" t="s">
        <v>32</v>
      </c>
      <c r="B515" s="84" t="s">
        <v>992</v>
      </c>
      <c r="C515" s="48" t="str">
        <f>IFERROR(__xludf.DUMMYFUNCTION("AI(""Introduce un valor adecuado para esta celda según el contexto de la tabla"")"),"VEGA")</f>
        <v>VEGA</v>
      </c>
      <c r="D515" s="18"/>
      <c r="E515" s="10"/>
      <c r="F515" s="10"/>
      <c r="G515" s="18"/>
      <c r="H515" s="38" t="s">
        <v>682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33" t="s">
        <v>32</v>
      </c>
      <c r="B516" s="84" t="s">
        <v>993</v>
      </c>
      <c r="C516" s="48" t="str">
        <f>IFERROR(__xludf.DUMMYFUNCTION("AI(""Introduce un valor adecuado para esta celda según el contexto de la tabla"")"),"VEGA")</f>
        <v>VEGA</v>
      </c>
      <c r="D516" s="18"/>
      <c r="E516" s="10"/>
      <c r="F516" s="10"/>
      <c r="G516" s="18"/>
      <c r="H516" s="38" t="s">
        <v>682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33" t="s">
        <v>32</v>
      </c>
      <c r="B517" s="84" t="s">
        <v>995</v>
      </c>
      <c r="C517" s="48" t="str">
        <f>IFERROR(__xludf.DUMMYFUNCTION("AI(""Introduce un valor adecuado para esta celda según el contexto de la tabla"")"),"VEGA")</f>
        <v>VEGA</v>
      </c>
      <c r="D517" s="18"/>
      <c r="E517" s="10"/>
      <c r="F517" s="10"/>
      <c r="G517" s="18"/>
      <c r="H517" s="38" t="s">
        <v>682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2" t="s">
        <v>996</v>
      </c>
      <c r="B518" s="84" t="s">
        <v>997</v>
      </c>
      <c r="C518" s="48" t="str">
        <f>IFERROR(__xludf.DUMMYFUNCTION("AI(""Introduce un valor adecuado para esta celda según el contexto de la tabla"")"),"VEGA")</f>
        <v>VEGA</v>
      </c>
      <c r="D518" s="18"/>
      <c r="E518" s="10"/>
      <c r="F518" s="10"/>
      <c r="G518" s="18"/>
      <c r="H518" s="38" t="s">
        <v>682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33" t="s">
        <v>32</v>
      </c>
      <c r="B519" s="84" t="s">
        <v>998</v>
      </c>
      <c r="C519" s="48" t="str">
        <f>IFERROR(__xludf.DUMMYFUNCTION("AI(""Introduce un valor adecuado para esta celda según el contexto de la tabla"")"),"VEGA")</f>
        <v>VEGA</v>
      </c>
      <c r="D519" s="18"/>
      <c r="E519" s="10"/>
      <c r="F519" s="10"/>
      <c r="G519" s="18"/>
      <c r="H519" s="38" t="s">
        <v>682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33" t="s">
        <v>32</v>
      </c>
      <c r="B520" s="84" t="s">
        <v>999</v>
      </c>
      <c r="C520" s="48" t="str">
        <f>IFERROR(__xludf.DUMMYFUNCTION("AI(""Introduce un valor adecuado para esta celda según el contexto de la tabla"")"),"VEGA")</f>
        <v>VEGA</v>
      </c>
      <c r="D520" s="18"/>
      <c r="E520" s="10"/>
      <c r="F520" s="10"/>
      <c r="G520" s="18"/>
      <c r="H520" s="38" t="s">
        <v>682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2" t="s">
        <v>1000</v>
      </c>
      <c r="B521" s="84" t="s">
        <v>1001</v>
      </c>
      <c r="C521" s="48" t="str">
        <f>IFERROR(__xludf.DUMMYFUNCTION("AI(""Introduce un valor adecuado para esta celda según el contexto de la tabla"")"),"VEGA")</f>
        <v>VEGA</v>
      </c>
      <c r="D521" s="18"/>
      <c r="E521" s="10"/>
      <c r="F521" s="10"/>
      <c r="G521" s="18"/>
      <c r="H521" s="38" t="s">
        <v>682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33" t="s">
        <v>32</v>
      </c>
      <c r="B522" s="84" t="s">
        <v>1002</v>
      </c>
      <c r="C522" s="48" t="str">
        <f>IFERROR(__xludf.DUMMYFUNCTION("AI(""Introduce un valor adecuado para esta celda según el contexto de la tabla"")"),"VEGA")</f>
        <v>VEGA</v>
      </c>
      <c r="D522" s="18"/>
      <c r="E522" s="10"/>
      <c r="F522" s="10"/>
      <c r="G522" s="18"/>
      <c r="H522" s="38" t="s">
        <v>682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33" t="s">
        <v>32</v>
      </c>
      <c r="B523" s="84" t="s">
        <v>1003</v>
      </c>
      <c r="C523" s="48" t="str">
        <f>IFERROR(__xludf.DUMMYFUNCTION("AI(""Introduce un valor adecuado para esta celda según el contexto de la tabla"")"),"VEGA")</f>
        <v>VEGA</v>
      </c>
      <c r="D523" s="18"/>
      <c r="E523" s="10"/>
      <c r="F523" s="10"/>
      <c r="G523" s="18"/>
      <c r="H523" s="38" t="s">
        <v>682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33" t="s">
        <v>32</v>
      </c>
      <c r="B524" s="84" t="s">
        <v>1004</v>
      </c>
      <c r="C524" s="48" t="str">
        <f>IFERROR(__xludf.DUMMYFUNCTION("AI(""Introduce un valor adecuado para esta celda según el contexto de la tabla"")"),"VEGA")</f>
        <v>VEGA</v>
      </c>
      <c r="D524" s="18"/>
      <c r="E524" s="10"/>
      <c r="F524" s="10"/>
      <c r="G524" s="18"/>
      <c r="H524" s="38" t="s">
        <v>682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33" t="s">
        <v>32</v>
      </c>
      <c r="B525" s="84" t="s">
        <v>1005</v>
      </c>
      <c r="C525" s="48" t="str">
        <f>IFERROR(__xludf.DUMMYFUNCTION("AI(""Introduce un valor adecuado para esta celda según el contexto de la tabla"")"),"VEGA")</f>
        <v>VEGA</v>
      </c>
      <c r="D525" s="18"/>
      <c r="E525" s="10"/>
      <c r="F525" s="10"/>
      <c r="G525" s="18"/>
      <c r="H525" s="38" t="s">
        <v>682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33" t="s">
        <v>32</v>
      </c>
      <c r="B526" s="84" t="s">
        <v>1006</v>
      </c>
      <c r="C526" s="48" t="str">
        <f>IFERROR(__xludf.DUMMYFUNCTION("AI(""Introduce un valor adecuado para esta celda según el contexto de la tabla"")"),"VEGA")</f>
        <v>VEGA</v>
      </c>
      <c r="D526" s="18"/>
      <c r="E526" s="10"/>
      <c r="F526" s="10"/>
      <c r="G526" s="18"/>
      <c r="H526" s="38" t="s">
        <v>682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33" t="s">
        <v>32</v>
      </c>
      <c r="B527" s="84" t="s">
        <v>1007</v>
      </c>
      <c r="C527" s="48" t="str">
        <f>IFERROR(__xludf.DUMMYFUNCTION("AI(""Introduce un valor adecuado para esta celda según el contexto de la tabla"")"),"VEGA")</f>
        <v>VEGA</v>
      </c>
      <c r="D527" s="18"/>
      <c r="E527" s="10"/>
      <c r="F527" s="10"/>
      <c r="G527" s="18"/>
      <c r="H527" s="38" t="s">
        <v>682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33" t="s">
        <v>32</v>
      </c>
      <c r="B528" s="84" t="s">
        <v>1008</v>
      </c>
      <c r="C528" s="48" t="str">
        <f>IFERROR(__xludf.DUMMYFUNCTION("AI(""Introduce un valor adecuado para esta celda según el contexto de la tabla"")"),"VEGA")</f>
        <v>VEGA</v>
      </c>
      <c r="D528" s="18"/>
      <c r="E528" s="10"/>
      <c r="F528" s="10"/>
      <c r="G528" s="18"/>
      <c r="H528" s="38" t="s">
        <v>682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33" t="s">
        <v>32</v>
      </c>
      <c r="B529" s="84" t="s">
        <v>1009</v>
      </c>
      <c r="C529" s="48" t="str">
        <f>IFERROR(__xludf.DUMMYFUNCTION("AI(""Introduce un valor adecuado para esta celda según el contexto de la tabla"")"),"VEGA")</f>
        <v>VEGA</v>
      </c>
      <c r="D529" s="18"/>
      <c r="E529" s="10"/>
      <c r="F529" s="10"/>
      <c r="G529" s="18"/>
      <c r="H529" s="38" t="s">
        <v>682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33" t="s">
        <v>32</v>
      </c>
      <c r="B530" s="84" t="s">
        <v>1010</v>
      </c>
      <c r="C530" s="48" t="str">
        <f>IFERROR(__xludf.DUMMYFUNCTION("AI(""Introduce un valor adecuado para esta celda según el contexto de la tabla"")"),"VEGA")</f>
        <v>VEGA</v>
      </c>
      <c r="D530" s="18"/>
      <c r="E530" s="10"/>
      <c r="F530" s="10"/>
      <c r="G530" s="18"/>
      <c r="H530" s="38" t="s">
        <v>682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33" t="s">
        <v>32</v>
      </c>
      <c r="B531" s="84" t="s">
        <v>1011</v>
      </c>
      <c r="C531" s="48" t="str">
        <f>IFERROR(__xludf.DUMMYFUNCTION("AI(""Introduce un valor adecuado para esta celda según el contexto de la tabla"")"),"VEGA")</f>
        <v>VEGA</v>
      </c>
      <c r="D531" s="18"/>
      <c r="E531" s="10"/>
      <c r="F531" s="10"/>
      <c r="G531" s="18"/>
      <c r="H531" s="38" t="s">
        <v>682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33" t="s">
        <v>32</v>
      </c>
      <c r="B532" s="84" t="s">
        <v>1012</v>
      </c>
      <c r="C532" s="48" t="str">
        <f>IFERROR(__xludf.DUMMYFUNCTION("AI(""Introduce un valor adecuado para esta celda según el contexto de la tabla"")"),"VEGA")</f>
        <v>VEGA</v>
      </c>
      <c r="D532" s="18"/>
      <c r="E532" s="10"/>
      <c r="F532" s="10"/>
      <c r="G532" s="18"/>
      <c r="H532" s="38" t="s">
        <v>682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33" t="s">
        <v>32</v>
      </c>
      <c r="B533" s="84" t="s">
        <v>1013</v>
      </c>
      <c r="C533" s="48" t="str">
        <f>IFERROR(__xludf.DUMMYFUNCTION("AI(""Introduce un valor adecuado para esta celda según el contexto de la tabla"")"),"VEGA")</f>
        <v>VEGA</v>
      </c>
      <c r="D533" s="18"/>
      <c r="E533" s="10"/>
      <c r="F533" s="10"/>
      <c r="G533" s="18"/>
      <c r="H533" s="38" t="s">
        <v>682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33" t="s">
        <v>32</v>
      </c>
      <c r="B534" s="84" t="s">
        <v>1014</v>
      </c>
      <c r="C534" s="48" t="str">
        <f>IFERROR(__xludf.DUMMYFUNCTION("AI(""Introduce un valor adecuado para esta celda según el contexto de la tabla"")"),"VEGA")</f>
        <v>VEGA</v>
      </c>
      <c r="D534" s="18"/>
      <c r="E534" s="10"/>
      <c r="F534" s="10"/>
      <c r="G534" s="18"/>
      <c r="H534" s="38" t="s">
        <v>682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33" t="s">
        <v>32</v>
      </c>
      <c r="B535" s="84" t="s">
        <v>1016</v>
      </c>
      <c r="C535" s="48" t="str">
        <f>IFERROR(__xludf.DUMMYFUNCTION("AI(""Introduce un valor adecuado para esta celda según el contexto de la tabla"")"),"VEGA")</f>
        <v>VEGA</v>
      </c>
      <c r="D535" s="18"/>
      <c r="E535" s="10"/>
      <c r="F535" s="10"/>
      <c r="G535" s="18"/>
      <c r="H535" s="38" t="s">
        <v>682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33" t="s">
        <v>32</v>
      </c>
      <c r="B536" s="84" t="s">
        <v>1017</v>
      </c>
      <c r="C536" s="48" t="str">
        <f>IFERROR(__xludf.DUMMYFUNCTION("AI(""Introduce un valor adecuado para esta celda según el contexto de la tabla"")"),"VEGA")</f>
        <v>VEGA</v>
      </c>
      <c r="D536" s="18"/>
      <c r="E536" s="10"/>
      <c r="F536" s="10"/>
      <c r="G536" s="18"/>
      <c r="H536" s="38" t="s">
        <v>682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33" t="s">
        <v>32</v>
      </c>
      <c r="B537" s="84" t="s">
        <v>1019</v>
      </c>
      <c r="C537" s="48" t="str">
        <f>IFERROR(__xludf.DUMMYFUNCTION("AI(""Introduce un valor adecuado para esta celda según el contexto de la tabla"")"),"VEGA")</f>
        <v>VEGA</v>
      </c>
      <c r="D537" s="18"/>
      <c r="E537" s="10"/>
      <c r="F537" s="10"/>
      <c r="G537" s="18"/>
      <c r="H537" s="38" t="s">
        <v>682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2" t="s">
        <v>1020</v>
      </c>
      <c r="B538" s="84" t="s">
        <v>1021</v>
      </c>
      <c r="C538" s="48" t="str">
        <f>IFERROR(__xludf.DUMMYFUNCTION("AI(""Introduce un valor adecuado para esta celda según el contexto de la tabla"")"),"VEGA")</f>
        <v>VEGA</v>
      </c>
      <c r="D538" s="18"/>
      <c r="E538" s="10"/>
      <c r="F538" s="10"/>
      <c r="G538" s="18"/>
      <c r="H538" s="38" t="s">
        <v>682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2" t="s">
        <v>1023</v>
      </c>
      <c r="B539" s="84" t="s">
        <v>1024</v>
      </c>
      <c r="C539" s="48" t="str">
        <f>IFERROR(__xludf.DUMMYFUNCTION("AI(""Introduce un valor adecuado para esta celda según el contexto de la tabla"")"),"VEGA")</f>
        <v>VEGA</v>
      </c>
      <c r="D539" s="18"/>
      <c r="E539" s="10"/>
      <c r="F539" s="10"/>
      <c r="G539" s="18"/>
      <c r="H539" s="38" t="s">
        <v>682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2" t="s">
        <v>1025</v>
      </c>
      <c r="B540" s="84" t="s">
        <v>1026</v>
      </c>
      <c r="C540" s="48" t="str">
        <f>IFERROR(__xludf.DUMMYFUNCTION("AI(""Introduce un valor adecuado para esta celda según el contexto de la tabla"")"),"VEGA")</f>
        <v>VEGA</v>
      </c>
      <c r="D540" s="18"/>
      <c r="E540" s="10"/>
      <c r="F540" s="10"/>
      <c r="G540" s="18"/>
      <c r="H540" s="38" t="s">
        <v>682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2" t="s">
        <v>1027</v>
      </c>
      <c r="B541" s="84" t="s">
        <v>1028</v>
      </c>
      <c r="C541" s="48" t="str">
        <f>IFERROR(__xludf.DUMMYFUNCTION("AI(""Introduce un valor adecuado para esta celda según el contexto de la tabla"")"),"VEGA")</f>
        <v>VEGA</v>
      </c>
      <c r="D541" s="18"/>
      <c r="E541" s="10"/>
      <c r="F541" s="10"/>
      <c r="G541" s="18"/>
      <c r="H541" s="38" t="s">
        <v>682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2" t="s">
        <v>1029</v>
      </c>
      <c r="B542" s="84" t="s">
        <v>1030</v>
      </c>
      <c r="C542" s="48" t="str">
        <f>IFERROR(__xludf.DUMMYFUNCTION("AI(""Introduce un valor adecuado para esta celda según el contexto de la tabla"")"),"VEGA")</f>
        <v>VEGA</v>
      </c>
      <c r="D542" s="18"/>
      <c r="E542" s="10"/>
      <c r="F542" s="10"/>
      <c r="G542" s="18"/>
      <c r="H542" s="38" t="s">
        <v>682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33" t="s">
        <v>32</v>
      </c>
      <c r="B543" s="84" t="s">
        <v>1031</v>
      </c>
      <c r="C543" s="48" t="str">
        <f>IFERROR(__xludf.DUMMYFUNCTION("AI(""Introduce un valor adecuado para esta celda según el contexto de la tabla"")"),"MHW")</f>
        <v>MHW</v>
      </c>
      <c r="D543" s="18"/>
      <c r="E543" s="10"/>
      <c r="F543" s="10"/>
      <c r="G543" s="18"/>
      <c r="H543" s="38" t="s">
        <v>682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33" t="s">
        <v>32</v>
      </c>
      <c r="B544" s="84" t="s">
        <v>1032</v>
      </c>
      <c r="C544" s="34" t="s">
        <v>1033</v>
      </c>
      <c r="D544" s="18"/>
      <c r="E544" s="10"/>
      <c r="F544" s="10"/>
      <c r="G544" s="18"/>
      <c r="H544" s="38" t="s">
        <v>682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2" t="s">
        <v>1034</v>
      </c>
      <c r="B545" s="84" t="s">
        <v>1035</v>
      </c>
      <c r="C545" s="48" t="str">
        <f>IFERROR(__xludf.DUMMYFUNCTION("AI(""Introduce un valor adecuado para esta celda según el contexto de la tabla"")"),"SEINECA")</f>
        <v>SEINECA</v>
      </c>
      <c r="D545" s="18"/>
      <c r="E545" s="10"/>
      <c r="F545" s="10"/>
      <c r="G545" s="18"/>
      <c r="H545" s="38" t="s">
        <v>682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2" t="s">
        <v>1036</v>
      </c>
      <c r="B546" s="84" t="s">
        <v>1037</v>
      </c>
      <c r="C546" s="48" t="str">
        <f>IFERROR(__xludf.DUMMYFUNCTION("AI(""Introduce un valor adecuado para esta celda según el contexto de la tabla"")"),"STP")</f>
        <v>STP</v>
      </c>
      <c r="D546" s="18"/>
      <c r="E546" s="10"/>
      <c r="F546" s="10"/>
      <c r="G546" s="18"/>
      <c r="H546" s="38" t="s">
        <v>682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2" t="s">
        <v>1038</v>
      </c>
      <c r="B547" s="84" t="s">
        <v>1039</v>
      </c>
      <c r="C547" s="48" t="str">
        <f>IFERROR(__xludf.DUMMYFUNCTION("AI(""Introduce un valor adecuado para esta celda según el contexto de la tabla"")"),"STP")</f>
        <v>STP</v>
      </c>
      <c r="D547" s="18"/>
      <c r="E547" s="10"/>
      <c r="F547" s="10"/>
      <c r="G547" s="18"/>
      <c r="H547" s="38" t="s">
        <v>682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33" t="s">
        <v>32</v>
      </c>
      <c r="B548" s="84" t="s">
        <v>1040</v>
      </c>
      <c r="C548" s="48" t="str">
        <f>IFERROR(__xludf.DUMMYFUNCTION("AI(""Introduce un valor adecuado para esta celda según el contexto de la tabla"")"),"CROIX")</f>
        <v>CROIX</v>
      </c>
      <c r="D548" s="18"/>
      <c r="E548" s="10"/>
      <c r="F548" s="10"/>
      <c r="G548" s="18"/>
      <c r="H548" s="38" t="s">
        <v>682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33" t="s">
        <v>32</v>
      </c>
      <c r="B549" s="84" t="s">
        <v>1041</v>
      </c>
      <c r="C549" s="48" t="str">
        <f>IFERROR(__xludf.DUMMYFUNCTION("AI(""Introduce un valor adecuado para esta celda según el contexto de la tabla"")"),"GAT")</f>
        <v>GAT</v>
      </c>
      <c r="D549" s="18"/>
      <c r="E549" s="10"/>
      <c r="F549" s="10"/>
      <c r="G549" s="18"/>
      <c r="H549" s="38" t="s">
        <v>682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33" t="s">
        <v>32</v>
      </c>
      <c r="B550" s="84" t="s">
        <v>1042</v>
      </c>
      <c r="C550" s="34" t="s">
        <v>1033</v>
      </c>
      <c r="D550" s="18"/>
      <c r="E550" s="10"/>
      <c r="F550" s="10"/>
      <c r="G550" s="18"/>
      <c r="H550" s="38" t="s">
        <v>682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2" t="s">
        <v>1043</v>
      </c>
      <c r="B551" s="84" t="s">
        <v>1044</v>
      </c>
      <c r="C551" s="48" t="str">
        <f>IFERROR(__xludf.DUMMYFUNCTION("AI(""Introduce un valor adecuado para esta celda según el contexto de la tabla"")"),"WINNER")</f>
        <v>WINNER</v>
      </c>
      <c r="D551" s="18"/>
      <c r="E551" s="10"/>
      <c r="F551" s="10"/>
      <c r="G551" s="18"/>
      <c r="H551" s="38" t="s">
        <v>682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2" t="s">
        <v>1046</v>
      </c>
      <c r="B552" s="84" t="s">
        <v>1047</v>
      </c>
      <c r="C552" s="48" t="str">
        <f>IFERROR(__xludf.DUMMYFUNCTION("AI(""Introduce un valor adecuado para esta celda según el contexto de la tabla"")"),"WINNER")</f>
        <v>WINNER</v>
      </c>
      <c r="D552" s="18"/>
      <c r="E552" s="10"/>
      <c r="F552" s="10"/>
      <c r="G552" s="18"/>
      <c r="H552" s="38" t="s">
        <v>682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33" t="s">
        <v>32</v>
      </c>
      <c r="B553" s="84" t="s">
        <v>1048</v>
      </c>
      <c r="C553" s="34" t="s">
        <v>1033</v>
      </c>
      <c r="D553" s="18"/>
      <c r="E553" s="10"/>
      <c r="F553" s="10"/>
      <c r="G553" s="18"/>
      <c r="H553" s="38" t="s">
        <v>682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33" t="s">
        <v>32</v>
      </c>
      <c r="B554" s="84" t="s">
        <v>1050</v>
      </c>
      <c r="C554" s="48" t="str">
        <f>IFERROR(__xludf.DUMMYFUNCTION("AI(""Introduce un valor adecuado para esta celda según el contexto de la tabla"")"),"WINNER")</f>
        <v>WINNER</v>
      </c>
      <c r="D554" s="18"/>
      <c r="E554" s="10"/>
      <c r="F554" s="10"/>
      <c r="G554" s="18"/>
      <c r="H554" s="38" t="s">
        <v>682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33" t="s">
        <v>32</v>
      </c>
      <c r="B555" s="84" t="s">
        <v>1051</v>
      </c>
      <c r="C555" s="48" t="str">
        <f>IFERROR(__xludf.DUMMYFUNCTION("AI(""Introduce un valor adecuado para esta celda según el contexto de la tabla"")"),"WINNER")</f>
        <v>WINNER</v>
      </c>
      <c r="D555" s="18"/>
      <c r="E555" s="10"/>
      <c r="F555" s="10"/>
      <c r="G555" s="18"/>
      <c r="H555" s="38" t="s">
        <v>682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33" t="s">
        <v>32</v>
      </c>
      <c r="B556" s="84" t="s">
        <v>1053</v>
      </c>
      <c r="C556" s="48" t="str">
        <f>IFERROR(__xludf.DUMMYFUNCTION("AI(""Introduce un valor adecuado para esta celda según el contexto de la tabla"")"),"KEYSTONE")</f>
        <v>KEYSTONE</v>
      </c>
      <c r="D556" s="18"/>
      <c r="E556" s="10"/>
      <c r="F556" s="10"/>
      <c r="G556" s="18"/>
      <c r="H556" s="38" t="s">
        <v>682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33" t="s">
        <v>32</v>
      </c>
      <c r="B557" s="84" t="s">
        <v>1055</v>
      </c>
      <c r="C557" s="48" t="str">
        <f>IFERROR(__xludf.DUMMYFUNCTION("AI(""Introduce un valor adecuado para esta celda según el contexto de la tabla"")"),"KEYSTONE")</f>
        <v>KEYSTONE</v>
      </c>
      <c r="D557" s="18"/>
      <c r="E557" s="10"/>
      <c r="F557" s="10"/>
      <c r="G557" s="18"/>
      <c r="H557" s="38" t="s">
        <v>682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33" t="s">
        <v>32</v>
      </c>
      <c r="B558" s="84" t="s">
        <v>1057</v>
      </c>
      <c r="C558" s="48" t="str">
        <f>IFERROR(__xludf.DUMMYFUNCTION("AI(""Introduce un valor adecuado para esta celda según el contexto de la tabla"")"),"NSF")</f>
        <v>NSF</v>
      </c>
      <c r="D558" s="18"/>
      <c r="E558" s="10"/>
      <c r="F558" s="10"/>
      <c r="G558" s="18"/>
      <c r="H558" s="38" t="s">
        <v>682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5" t="s">
        <v>1058</v>
      </c>
      <c r="B559" s="106" t="s">
        <v>1059</v>
      </c>
      <c r="C559" s="107" t="str">
        <f>IFERROR(__xludf.DUMMYFUNCTION("AI(""Introduce un valor adecuado para esta celda según el contexto de la tabla"")"),"STP")</f>
        <v>STP</v>
      </c>
      <c r="D559" s="116"/>
      <c r="E559" s="8"/>
      <c r="F559" s="8"/>
      <c r="G559" s="116"/>
      <c r="H559" s="117" t="s">
        <v>682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105" t="s">
        <v>1061</v>
      </c>
      <c r="B560" s="118" t="s">
        <v>1062</v>
      </c>
      <c r="C560" s="107" t="str">
        <f>IFERROR(__xludf.DUMMYFUNCTION("AI(""Introduce un valor adecuado para esta celda según el contexto de la tabla"")"),"STP")</f>
        <v>STP</v>
      </c>
      <c r="D560" s="116"/>
      <c r="E560" s="8"/>
      <c r="F560" s="8"/>
      <c r="G560" s="116"/>
      <c r="H560" s="117" t="s">
        <v>682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105" t="s">
        <v>1064</v>
      </c>
      <c r="B561" s="106" t="s">
        <v>1065</v>
      </c>
      <c r="C561" s="107" t="str">
        <f>IFERROR(__xludf.DUMMYFUNCTION("AI(""Introduce un valor adecuado para esta celda según el contexto de la tabla"")"),"STP")</f>
        <v>STP</v>
      </c>
      <c r="D561" s="116"/>
      <c r="E561" s="8"/>
      <c r="F561" s="8"/>
      <c r="G561" s="116"/>
      <c r="H561" s="117" t="s">
        <v>682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105" t="s">
        <v>1066</v>
      </c>
      <c r="B562" s="118" t="s">
        <v>1067</v>
      </c>
      <c r="C562" s="107" t="str">
        <f>IFERROR(__xludf.DUMMYFUNCTION("AI(""Introduce un valor adecuado para esta celda según el contexto de la tabla"")"),"STP")</f>
        <v>STP</v>
      </c>
      <c r="D562" s="116"/>
      <c r="E562" s="8"/>
      <c r="F562" s="8"/>
      <c r="G562" s="116"/>
      <c r="H562" s="117" t="s">
        <v>682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33" t="s">
        <v>32</v>
      </c>
      <c r="B563" s="84" t="s">
        <v>1069</v>
      </c>
      <c r="C563" s="48" t="str">
        <f>IFERROR(__xludf.DUMMYFUNCTION("AI(""Introduce un valor adecuado para esta celda según el contexto de la tabla"")"),"STP")</f>
        <v>STP</v>
      </c>
      <c r="D563" s="18"/>
      <c r="E563" s="10"/>
      <c r="F563" s="10"/>
      <c r="G563" s="18"/>
      <c r="H563" s="38" t="s">
        <v>682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2" t="s">
        <v>1071</v>
      </c>
      <c r="B564" s="84" t="s">
        <v>1072</v>
      </c>
      <c r="C564" s="48" t="str">
        <f>IFERROR(__xludf.DUMMYFUNCTION("AI(""Introduce un valor adecuado para esta celda según el contexto de la tabla"")"),"STP")</f>
        <v>STP</v>
      </c>
      <c r="D564" s="18"/>
      <c r="E564" s="10"/>
      <c r="F564" s="10"/>
      <c r="G564" s="18"/>
      <c r="H564" s="38" t="s">
        <v>682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2" t="s">
        <v>1073</v>
      </c>
      <c r="B565" s="84" t="s">
        <v>1074</v>
      </c>
      <c r="C565" s="48" t="str">
        <f>IFERROR(__xludf.DUMMYFUNCTION("AI(""Introduce un valor adecuado para esta celda según el contexto de la tabla"")"),"STP")</f>
        <v>STP</v>
      </c>
      <c r="D565" s="18"/>
      <c r="E565" s="10"/>
      <c r="F565" s="10"/>
      <c r="G565" s="18"/>
      <c r="H565" s="38" t="s">
        <v>682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33" t="s">
        <v>32</v>
      </c>
      <c r="B566" s="84" t="s">
        <v>1075</v>
      </c>
      <c r="C566" s="48" t="str">
        <f>IFERROR(__xludf.DUMMYFUNCTION("AI(""Introduce un valor adecuado para esta celda según el contexto de la tabla"")"),"GAT")</f>
        <v>GAT</v>
      </c>
      <c r="D566" s="18"/>
      <c r="E566" s="10"/>
      <c r="F566" s="10"/>
      <c r="G566" s="18"/>
      <c r="H566" s="38" t="s">
        <v>682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33" t="s">
        <v>32</v>
      </c>
      <c r="B567" s="84" t="s">
        <v>1076</v>
      </c>
      <c r="C567" s="48" t="str">
        <f>IFERROR(__xludf.DUMMYFUNCTION("AI(""Introduce un valor adecuado para esta celda según el contexto de la tabla"")"),"AKSU")</f>
        <v>AKSU</v>
      </c>
      <c r="D567" s="18"/>
      <c r="E567" s="10"/>
      <c r="F567" s="10"/>
      <c r="G567" s="18"/>
      <c r="H567" s="38" t="s">
        <v>682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33" t="s">
        <v>32</v>
      </c>
      <c r="B568" s="84" t="s">
        <v>1077</v>
      </c>
      <c r="C568" s="48" t="str">
        <f>IFERROR(__xludf.DUMMYFUNCTION("AI(""Introduce un valor adecuado para esta celda según el contexto de la tabla"")"),"DENSO")</f>
        <v>DENSO</v>
      </c>
      <c r="D568" s="18"/>
      <c r="E568" s="10"/>
      <c r="F568" s="10"/>
      <c r="G568" s="18"/>
      <c r="H568" s="38" t="s">
        <v>682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33" t="s">
        <v>32</v>
      </c>
      <c r="B569" s="84" t="s">
        <v>1079</v>
      </c>
      <c r="C569" s="34" t="s">
        <v>1033</v>
      </c>
      <c r="D569" s="18"/>
      <c r="E569" s="10"/>
      <c r="F569" s="10"/>
      <c r="G569" s="18"/>
      <c r="H569" s="38" t="s">
        <v>682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33" t="s">
        <v>32</v>
      </c>
      <c r="B570" s="84" t="s">
        <v>1080</v>
      </c>
      <c r="C570" s="48" t="str">
        <f>IFERROR(__xludf.DUMMYFUNCTION("AI(""Introduce un valor adecuado para esta celda según el contexto de la tabla"")"),"SEINECA")</f>
        <v>SEINECA</v>
      </c>
      <c r="D570" s="18"/>
      <c r="E570" s="10"/>
      <c r="F570" s="10"/>
      <c r="G570" s="18"/>
      <c r="H570" s="38" t="s">
        <v>682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33" t="s">
        <v>32</v>
      </c>
      <c r="B571" s="84" t="s">
        <v>1081</v>
      </c>
      <c r="C571" s="48" t="str">
        <f>IFERROR(__xludf.DUMMYFUNCTION("AI(""Introduce un valor adecuado para esta celda según el contexto de la tabla"")"),"WINNER")</f>
        <v>WINNER</v>
      </c>
      <c r="D571" s="18"/>
      <c r="E571" s="10"/>
      <c r="F571" s="10"/>
      <c r="G571" s="18"/>
      <c r="H571" s="38" t="s">
        <v>682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2" t="s">
        <v>1082</v>
      </c>
      <c r="B572" s="84" t="s">
        <v>1083</v>
      </c>
      <c r="C572" s="48" t="str">
        <f>IFERROR(__xludf.DUMMYFUNCTION("AI(""Introduce un valor adecuado para esta celda según el contexto de la tabla"")"),"WINNER")</f>
        <v>WINNER</v>
      </c>
      <c r="D572" s="18"/>
      <c r="E572" s="10"/>
      <c r="F572" s="10"/>
      <c r="G572" s="18"/>
      <c r="H572" s="38" t="s">
        <v>682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2" t="s">
        <v>1084</v>
      </c>
      <c r="B573" s="84" t="s">
        <v>1085</v>
      </c>
      <c r="C573" s="48" t="str">
        <f>IFERROR(__xludf.DUMMYFUNCTION("AI(""Introduce un valor adecuado para esta celda según el contexto de la tabla"")"),"WINNER")</f>
        <v>WINNER</v>
      </c>
      <c r="D573" s="18"/>
      <c r="E573" s="10"/>
      <c r="F573" s="10"/>
      <c r="G573" s="18"/>
      <c r="H573" s="38" t="s">
        <v>682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33" t="s">
        <v>32</v>
      </c>
      <c r="B574" s="84" t="s">
        <v>1086</v>
      </c>
      <c r="C574" s="48" t="str">
        <f>IFERROR(__xludf.DUMMYFUNCTION("AI(""Introduce un valor adecuado para esta celda según el contexto de la tabla"")"),"FC")</f>
        <v>FC</v>
      </c>
      <c r="D574" s="18"/>
      <c r="E574" s="10"/>
      <c r="F574" s="10"/>
      <c r="G574" s="18"/>
      <c r="H574" s="38" t="s">
        <v>682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33" t="s">
        <v>32</v>
      </c>
      <c r="B575" s="84" t="s">
        <v>1087</v>
      </c>
      <c r="C575" s="48" t="str">
        <f>IFERROR(__xludf.DUMMYFUNCTION("AI(""Introduce un valor adecuado para esta celda según el contexto de la tabla"")"),"WIX")</f>
        <v>WIX</v>
      </c>
      <c r="D575" s="18"/>
      <c r="E575" s="10"/>
      <c r="F575" s="10"/>
      <c r="G575" s="18"/>
      <c r="H575" s="38" t="s">
        <v>682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33" t="s">
        <v>32</v>
      </c>
      <c r="B576" s="84" t="s">
        <v>1088</v>
      </c>
      <c r="C576" s="48" t="str">
        <f>IFERROR(__xludf.DUMMYFUNCTION("AI(""Introduce un valor adecuado para esta celda según el contexto de la tabla"")"),"GAT")</f>
        <v>GAT</v>
      </c>
      <c r="D576" s="18"/>
      <c r="E576" s="10"/>
      <c r="F576" s="10"/>
      <c r="G576" s="18"/>
      <c r="H576" s="38" t="s">
        <v>682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33" t="s">
        <v>32</v>
      </c>
      <c r="B577" s="84" t="s">
        <v>1089</v>
      </c>
      <c r="C577" s="48" t="str">
        <f>IFERROR(__xludf.DUMMYFUNCTION("AI(""Introduce un valor adecuado para esta celda según el contexto de la tabla"")"),"SEINECA")</f>
        <v>SEINECA</v>
      </c>
      <c r="D577" s="18"/>
      <c r="E577" s="10"/>
      <c r="F577" s="10"/>
      <c r="G577" s="18"/>
      <c r="H577" s="38" t="s">
        <v>682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33" t="s">
        <v>32</v>
      </c>
      <c r="B578" s="84" t="s">
        <v>1090</v>
      </c>
      <c r="C578" s="34" t="s">
        <v>1033</v>
      </c>
      <c r="D578" s="18"/>
      <c r="E578" s="10"/>
      <c r="F578" s="10"/>
      <c r="G578" s="18"/>
      <c r="H578" s="38" t="s">
        <v>682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33" t="s">
        <v>32</v>
      </c>
      <c r="B579" s="84" t="s">
        <v>1091</v>
      </c>
      <c r="C579" s="48" t="str">
        <f>IFERROR(__xludf.DUMMYFUNCTION("AI(""Introduce un valor adecuado para esta celda según el contexto de la tabla"")"),"KEYSTONE")</f>
        <v>KEYSTONE</v>
      </c>
      <c r="D579" s="18"/>
      <c r="E579" s="10"/>
      <c r="F579" s="10"/>
      <c r="G579" s="18"/>
      <c r="H579" s="38" t="s">
        <v>682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2" t="s">
        <v>1092</v>
      </c>
      <c r="B580" s="84" t="s">
        <v>1093</v>
      </c>
      <c r="C580" s="48" t="str">
        <f>IFERROR(__xludf.DUMMYFUNCTION("AI(""Introduce un valor adecuado para esta celda según el contexto de la tabla"")"),"SEINECA")</f>
        <v>SEINECA</v>
      </c>
      <c r="D580" s="18"/>
      <c r="E580" s="10"/>
      <c r="F580" s="10"/>
      <c r="G580" s="18"/>
      <c r="H580" s="38" t="s">
        <v>682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33" t="s">
        <v>32</v>
      </c>
      <c r="B581" s="84" t="s">
        <v>1094</v>
      </c>
      <c r="C581" s="48" t="str">
        <f>IFERROR(__xludf.DUMMYFUNCTION("AI(""Introduce un valor adecuado para esta celda según el contexto de la tabla"")"),"WINNER")</f>
        <v>WINNER</v>
      </c>
      <c r="D581" s="18"/>
      <c r="E581" s="10"/>
      <c r="F581" s="10"/>
      <c r="G581" s="18"/>
      <c r="H581" s="38" t="s">
        <v>682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33" t="s">
        <v>32</v>
      </c>
      <c r="B582" s="84" t="s">
        <v>1095</v>
      </c>
      <c r="C582" s="34" t="s">
        <v>1033</v>
      </c>
      <c r="D582" s="18"/>
      <c r="E582" s="10"/>
      <c r="F582" s="10"/>
      <c r="G582" s="18"/>
      <c r="H582" s="38" t="s">
        <v>682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33" t="s">
        <v>32</v>
      </c>
      <c r="B583" s="84" t="s">
        <v>1096</v>
      </c>
      <c r="C583" s="48" t="str">
        <f>IFERROR(__xludf.DUMMYFUNCTION("AI(""Introduce un valor adecuado para esta celda según el contexto de la tabla"")"),"CHAMPION")</f>
        <v>CHAMPION</v>
      </c>
      <c r="D583" s="18"/>
      <c r="E583" s="10"/>
      <c r="F583" s="10"/>
      <c r="G583" s="18"/>
      <c r="H583" s="38" t="s">
        <v>682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33" t="s">
        <v>32</v>
      </c>
      <c r="B584" s="84" t="s">
        <v>1097</v>
      </c>
      <c r="C584" s="48" t="str">
        <f>IFERROR(__xludf.DUMMYFUNCTION("AI(""Introduce un valor adecuado para esta celda según el contexto de la tabla"")"),"AKSU")</f>
        <v>AKSU</v>
      </c>
      <c r="D584" s="18"/>
      <c r="E584" s="10"/>
      <c r="F584" s="10"/>
      <c r="G584" s="18"/>
      <c r="H584" s="38" t="s">
        <v>682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33" t="s">
        <v>32</v>
      </c>
      <c r="B585" s="84" t="s">
        <v>1098</v>
      </c>
      <c r="C585" s="48" t="str">
        <f>IFERROR(__xludf.DUMMYFUNCTION("AI(""Introduce un valor adecuado para esta celda según el contexto de la tabla"")"),"CHAMPION")</f>
        <v>CHAMPION</v>
      </c>
      <c r="D585" s="18"/>
      <c r="E585" s="10"/>
      <c r="F585" s="10"/>
      <c r="G585" s="18"/>
      <c r="H585" s="38" t="s">
        <v>682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33" t="s">
        <v>32</v>
      </c>
      <c r="B586" s="84" t="s">
        <v>1099</v>
      </c>
      <c r="C586" s="48" t="str">
        <f>IFERROR(__xludf.DUMMYFUNCTION("AI(""Introduce un valor adecuado para esta celda según el contexto de la tabla"")"),"STP")</f>
        <v>STP</v>
      </c>
      <c r="D586" s="18"/>
      <c r="E586" s="10"/>
      <c r="F586" s="10"/>
      <c r="G586" s="18"/>
      <c r="H586" s="38" t="s">
        <v>682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2" t="s">
        <v>1100</v>
      </c>
      <c r="B587" s="84" t="s">
        <v>1101</v>
      </c>
      <c r="C587" s="48" t="str">
        <f>IFERROR(__xludf.DUMMYFUNCTION("AI(""Introduce un valor adecuado para esta celda según el contexto de la tabla"")"),"MARUSSI")</f>
        <v>MARUSSI</v>
      </c>
      <c r="D587" s="18"/>
      <c r="E587" s="10"/>
      <c r="F587" s="10"/>
      <c r="G587" s="18"/>
      <c r="H587" s="38" t="s">
        <v>682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33" t="s">
        <v>32</v>
      </c>
      <c r="B588" s="84" t="s">
        <v>1102</v>
      </c>
      <c r="C588" s="48" t="str">
        <f>IFERROR(__xludf.DUMMYFUNCTION("AI(""Introduce un valor adecuado para esta celda según el contexto de la tabla"")"),"MHW")</f>
        <v>MHW</v>
      </c>
      <c r="D588" s="18"/>
      <c r="E588" s="10"/>
      <c r="F588" s="10"/>
      <c r="G588" s="18"/>
      <c r="H588" s="38" t="s">
        <v>682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33" t="s">
        <v>32</v>
      </c>
      <c r="B589" s="84" t="s">
        <v>1103</v>
      </c>
      <c r="C589" s="48" t="str">
        <f>IFERROR(__xludf.DUMMYFUNCTION("AI(""Introduce un valor adecuado para esta celda según el contexto de la tabla"")"),"WINNER")</f>
        <v>WINNER</v>
      </c>
      <c r="D589" s="18"/>
      <c r="E589" s="10"/>
      <c r="F589" s="10"/>
      <c r="G589" s="18"/>
      <c r="H589" s="38" t="s">
        <v>682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2" t="s">
        <v>1104</v>
      </c>
      <c r="B590" s="84" t="s">
        <v>1105</v>
      </c>
      <c r="C590" s="48" t="str">
        <f>IFERROR(__xludf.DUMMYFUNCTION("AI(""Introduce un valor adecuado para esta celda según el contexto de la tabla"")"),"WINNER")</f>
        <v>WINNER</v>
      </c>
      <c r="D590" s="18"/>
      <c r="E590" s="10"/>
      <c r="F590" s="10"/>
      <c r="G590" s="18"/>
      <c r="H590" s="38" t="s">
        <v>682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33" t="s">
        <v>32</v>
      </c>
      <c r="B591" s="84" t="s">
        <v>1106</v>
      </c>
      <c r="C591" s="48" t="str">
        <f>IFERROR(__xludf.DUMMYFUNCTION("AI(""Introduce un valor adecuado para esta celda según el contexto de la tabla"")"),"AKSU")</f>
        <v>AKSU</v>
      </c>
      <c r="D591" s="18"/>
      <c r="E591" s="10"/>
      <c r="F591" s="10"/>
      <c r="G591" s="18"/>
      <c r="H591" s="38" t="s">
        <v>682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33" t="s">
        <v>32</v>
      </c>
      <c r="B592" s="84" t="s">
        <v>1107</v>
      </c>
      <c r="C592" s="48" t="str">
        <f>IFERROR(__xludf.DUMMYFUNCTION("AI(""Introduce un valor adecuado para esta celda según el contexto de la tabla"")"),"GENÉRICO")</f>
        <v>GENÉRICO</v>
      </c>
      <c r="D592" s="18"/>
      <c r="E592" s="10"/>
      <c r="F592" s="10"/>
      <c r="G592" s="18"/>
      <c r="H592" s="38" t="s">
        <v>682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33" t="s">
        <v>32</v>
      </c>
      <c r="B593" s="84" t="s">
        <v>1108</v>
      </c>
      <c r="C593" s="48" t="str">
        <f>IFERROR(__xludf.DUMMYFUNCTION("AI(""Introduce un valor adecuado para esta celda según el contexto de la tabla"")"),"GENÉRICO")</f>
        <v>GENÉRICO</v>
      </c>
      <c r="D593" s="18"/>
      <c r="E593" s="10"/>
      <c r="F593" s="10"/>
      <c r="G593" s="18"/>
      <c r="H593" s="38" t="s">
        <v>682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33" t="s">
        <v>32</v>
      </c>
      <c r="B594" s="84" t="s">
        <v>1109</v>
      </c>
      <c r="C594" s="48" t="str">
        <f>IFERROR(__xludf.DUMMYFUNCTION("AI(""Introduce un valor adecuado para esta celda según el contexto de la tabla"")"),"GENÉRICO")</f>
        <v>GENÉRICO</v>
      </c>
      <c r="D594" s="18"/>
      <c r="E594" s="10"/>
      <c r="F594" s="10"/>
      <c r="G594" s="18"/>
      <c r="H594" s="38" t="s">
        <v>682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33" t="s">
        <v>32</v>
      </c>
      <c r="B595" s="84" t="s">
        <v>1110</v>
      </c>
      <c r="C595" s="48" t="str">
        <f>IFERROR(__xludf.DUMMYFUNCTION("AI(""Introduce un valor adecuado para esta celda según el contexto de la tabla"")"),"SAP")</f>
        <v>SAP</v>
      </c>
      <c r="D595" s="18"/>
      <c r="E595" s="10"/>
      <c r="F595" s="10"/>
      <c r="G595" s="18"/>
      <c r="H595" s="38" t="s">
        <v>682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78" t="s">
        <v>1111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2" t="s">
        <v>1112</v>
      </c>
      <c r="B597" s="84" t="s">
        <v>974</v>
      </c>
      <c r="C597" s="48" t="str">
        <f>IFERROR(__xludf.DUMMYFUNCTION("AI(""Introduce un valor adecuado para esta celda según el contexto de la tabla"")"),"BLUE1")</f>
        <v>BLUE1</v>
      </c>
      <c r="D597" s="18"/>
      <c r="E597" s="10"/>
      <c r="F597" s="10"/>
      <c r="G597" s="18"/>
      <c r="H597" s="18" t="str">
        <f>IFERROR(__xludf.DUMMYFUNCTION("AI(""POR LA CATEGORIA QUE ES Y EL COLOR ASI REFRIGERANTE / COLOR"")"),"Refrigerante / Rojo")</f>
        <v>Refrigerante / Rojo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33" t="s">
        <v>32</v>
      </c>
      <c r="B598" s="84" t="s">
        <v>1113</v>
      </c>
      <c r="C598" s="48" t="str">
        <f>IFERROR(__xludf.DUMMYFUNCTION("AI(""Introduce un valor adecuado para esta celda según el contexto de la tabla"")"),"ACDELCO")</f>
        <v>ACDELCO</v>
      </c>
      <c r="D598" s="18"/>
      <c r="E598" s="10"/>
      <c r="F598" s="10"/>
      <c r="G598" s="18"/>
      <c r="H598" s="38" t="s">
        <v>1114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2" t="s">
        <v>1115</v>
      </c>
      <c r="B599" s="84" t="s">
        <v>1116</v>
      </c>
      <c r="C599" s="34" t="s">
        <v>1117</v>
      </c>
      <c r="D599" s="18"/>
      <c r="E599" s="10"/>
      <c r="F599" s="10"/>
      <c r="G599" s="18"/>
      <c r="H599" s="38" t="s">
        <v>1114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2" t="s">
        <v>1118</v>
      </c>
      <c r="B600" s="84" t="s">
        <v>1119</v>
      </c>
      <c r="C600" s="48" t="str">
        <f>IFERROR(__xludf.DUMMYFUNCTION("AI(""Introduce un valor adecuado para esta celda según el contexto de la tabla"")"),"QUALID")</f>
        <v>QUALID</v>
      </c>
      <c r="D600" s="18"/>
      <c r="E600" s="10"/>
      <c r="F600" s="10"/>
      <c r="G600" s="18"/>
      <c r="H600" s="18" t="str">
        <f>IFERROR(__xludf.DUMMYFUNCTION("AI(""POR LA CATEGORIA QUE ES Y EL COLOR ASI REFRIGERANTE / COLOR"")"),"Refrigerante / Rojo")</f>
        <v>Refrigerante / Rojo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2" t="s">
        <v>1120</v>
      </c>
      <c r="B601" s="84" t="s">
        <v>1121</v>
      </c>
      <c r="C601" s="48" t="str">
        <f>IFERROR(__xludf.DUMMYFUNCTION("AI(""Introduce un valor adecuado para esta celda según el contexto de la tabla"")"),"QUALID")</f>
        <v>QUALID</v>
      </c>
      <c r="D601" s="18"/>
      <c r="E601" s="10"/>
      <c r="F601" s="10"/>
      <c r="G601" s="18"/>
      <c r="H601" s="18" t="str">
        <f>IFERROR(__xludf.DUMMYFUNCTION("AI(""POR LA CATEGORIA QUE ES Y EL COLOR ASI REFRIGERANTE / COLOR"")"),"Refrigerante / Rojo")</f>
        <v>Refrigerante / Rojo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33" t="s">
        <v>32</v>
      </c>
      <c r="B602" s="84" t="s">
        <v>1122</v>
      </c>
      <c r="C602" s="48" t="str">
        <f>IFERROR(__xludf.DUMMYFUNCTION("AI(""Introduce un valor adecuado para esta celda según el contexto de la tabla"")"),"PRO")</f>
        <v>PRO</v>
      </c>
      <c r="D602" s="18"/>
      <c r="E602" s="10"/>
      <c r="F602" s="10"/>
      <c r="G602" s="18"/>
      <c r="H602" s="18" t="str">
        <f>IFERROR(__xludf.DUMMYFUNCTION("AI(""POR LA CATEGORIA QUE ES Y EL COLOR ASI REFRIGERANTE / COLOR"")"),"Refrigerante / Verde")</f>
        <v>Refrigerante / Verde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2" t="s">
        <v>1123</v>
      </c>
      <c r="B603" s="84" t="s">
        <v>1124</v>
      </c>
      <c r="C603" s="48" t="str">
        <f>IFERROR(__xludf.DUMMYFUNCTION("AI(""Introduce un valor adecuado para esta celda según el contexto de la tabla"")"),"PRO")</f>
        <v>PRO</v>
      </c>
      <c r="D603" s="18"/>
      <c r="E603" s="10"/>
      <c r="F603" s="10"/>
      <c r="G603" s="18"/>
      <c r="H603" s="18" t="str">
        <f>IFERROR(__xludf.DUMMYFUNCTION("AI(""POR LA CATEGORIA QUE ES Y EL COLOR ASI REFRIGERANTE / COLOR"")"),"Refrigerante / Rojo")</f>
        <v>Refrigerante / Rojo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2" t="s">
        <v>1125</v>
      </c>
      <c r="B604" s="84" t="s">
        <v>1126</v>
      </c>
      <c r="C604" s="48" t="str">
        <f>IFERROR(__xludf.DUMMYFUNCTION("AI(""Introduce un valor adecuado para esta celda según el contexto de la tabla"")"),"PRO")</f>
        <v>PRO</v>
      </c>
      <c r="D604" s="18"/>
      <c r="E604" s="10"/>
      <c r="F604" s="10"/>
      <c r="G604" s="18"/>
      <c r="H604" s="18" t="str">
        <f>IFERROR(__xludf.DUMMYFUNCTION("AI(""POR LA CATEGORIA QUE ES Y EL COLOR ASI REFRIGERANTE / COLOR"")"),"Refrigerante / Verde")</f>
        <v>Refrigerante / Verde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33" t="s">
        <v>32</v>
      </c>
      <c r="B605" s="84" t="s">
        <v>1127</v>
      </c>
      <c r="C605" s="48" t="str">
        <f>IFERROR(__xludf.DUMMYFUNCTION("AI(""Introduce un valor adecuado para esta celda según el contexto de la tabla"")"),"SCHMIEROL")</f>
        <v>SCHMIEROL</v>
      </c>
      <c r="D605" s="18"/>
      <c r="E605" s="10"/>
      <c r="F605" s="10"/>
      <c r="G605" s="18"/>
      <c r="H605" s="18" t="str">
        <f>IFERROR(__xludf.DUMMYFUNCTION("AI(""POR LA CATEGORIA QUE ES Y EL COLOR ASI REFRIGERANTE / COLOR"")"),"Refrigerante / Verde")</f>
        <v>Refrigerante / Verde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33" t="s">
        <v>32</v>
      </c>
      <c r="B606" s="84" t="s">
        <v>1128</v>
      </c>
      <c r="C606" s="48" t="str">
        <f>IFERROR(__xludf.DUMMYFUNCTION("AI(""Introduce un valor adecuado para esta celda según el contexto de la tabla"")"),"SCHMIEROL")</f>
        <v>SCHMIEROL</v>
      </c>
      <c r="D606" s="18"/>
      <c r="E606" s="10"/>
      <c r="F606" s="10"/>
      <c r="G606" s="18"/>
      <c r="H606" s="18" t="str">
        <f>IFERROR(__xludf.DUMMYFUNCTION("AI(""POR LA CATEGORIA QUE ES Y EL COLOR ASI REFRIGERANTE / COLOR"")"),"Refrigerante / Rojo")</f>
        <v>Refrigerante / Rojo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2" t="s">
        <v>1129</v>
      </c>
      <c r="B607" s="84" t="s">
        <v>1130</v>
      </c>
      <c r="C607" s="48" t="str">
        <f>IFERROR(__xludf.DUMMYFUNCTION("AI(""Introduce un valor adecuado para esta celda según el contexto de la tabla"")"),"OILVEN")</f>
        <v>OILVEN</v>
      </c>
      <c r="D607" s="18"/>
      <c r="E607" s="10"/>
      <c r="F607" s="10"/>
      <c r="G607" s="18"/>
      <c r="H607" s="18" t="str">
        <f>IFERROR(__xludf.DUMMYFUNCTION("AI(""POR LA CATEGORIA QUE ES Y EL COLOR ASI REFRIGERANTE / COLOR"")"),"Refrigerante / Rojo")</f>
        <v>Refrigerante / Rojo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2" t="s">
        <v>1131</v>
      </c>
      <c r="B608" s="84" t="s">
        <v>1132</v>
      </c>
      <c r="C608" s="48" t="str">
        <f>IFERROR(__xludf.DUMMYFUNCTION("AI(""Introduce un valor adecuado para esta celda según el contexto de la tabla"")"),"OILVEN")</f>
        <v>OILVEN</v>
      </c>
      <c r="D608" s="18"/>
      <c r="E608" s="10"/>
      <c r="F608" s="10"/>
      <c r="G608" s="18"/>
      <c r="H608" s="18" t="str">
        <f>IFERROR(__xludf.DUMMYFUNCTION("AI(""POR LA CATEGORIA QUE ES Y EL COLOR ASI REFRIGERANTE / COLOR"")"),"Refrigerante / Rojo")</f>
        <v>Refrigerante / Rojo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2" t="s">
        <v>1133</v>
      </c>
      <c r="B609" s="84" t="s">
        <v>1134</v>
      </c>
      <c r="C609" s="48" t="str">
        <f>IFERROR(__xludf.DUMMYFUNCTION("AI(""Introduce un valor adecuado para esta celda según el contexto de la tabla"")"),"LMV")</f>
        <v>LMV</v>
      </c>
      <c r="D609" s="18"/>
      <c r="E609" s="10"/>
      <c r="F609" s="10"/>
      <c r="G609" s="18"/>
      <c r="H609" s="18" t="str">
        <f>IFERROR(__xludf.DUMMYFUNCTION("AI(""POR LA CATEGORIA QUE ES Y EL COLOR ASI REFRIGERANTE / COLOR"")"),"Refrigerante / Rojo")</f>
        <v>Refrigerante / Rojo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2" t="s">
        <v>1135</v>
      </c>
      <c r="B610" s="84" t="s">
        <v>1136</v>
      </c>
      <c r="C610" s="48" t="str">
        <f>IFERROR(__xludf.DUMMYFUNCTION("AI(""Introduce un valor adecuado para esta celda según el contexto de la tabla"")"),"LMV")</f>
        <v>LMV</v>
      </c>
      <c r="D610" s="18"/>
      <c r="E610" s="10"/>
      <c r="F610" s="10"/>
      <c r="G610" s="18"/>
      <c r="H610" s="18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1" t="s">
        <v>1137</v>
      </c>
      <c r="B611" s="84" t="s">
        <v>1138</v>
      </c>
      <c r="C611" s="34" t="s">
        <v>452</v>
      </c>
      <c r="D611" s="18"/>
      <c r="E611" s="10"/>
      <c r="F611" s="10"/>
      <c r="G611" s="18"/>
      <c r="H611" s="18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1" t="s">
        <v>1139</v>
      </c>
      <c r="B612" s="84" t="s">
        <v>1140</v>
      </c>
      <c r="C612" s="34" t="s">
        <v>452</v>
      </c>
      <c r="D612" s="18"/>
      <c r="E612" s="10"/>
      <c r="F612" s="10"/>
      <c r="G612" s="18"/>
      <c r="H612" s="18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2" t="s">
        <v>1141</v>
      </c>
      <c r="B613" s="84" t="s">
        <v>1142</v>
      </c>
      <c r="C613" s="48" t="str">
        <f>IFERROR(__xludf.DUMMYFUNCTION("AI(""Introduce un valor adecuado para esta celda según el contexto de la tabla"")"),"VF")</f>
        <v>VF</v>
      </c>
      <c r="D613" s="18"/>
      <c r="E613" s="10"/>
      <c r="F613" s="10"/>
      <c r="G613" s="18"/>
      <c r="H613" s="18" t="str">
        <f>IFERROR(__xludf.DUMMYFUNCTION("AI(""POR LA CATEGORIA QUE ES Y EL COLOR ASI REFRIGERANTE / COLOR"")"),"Refrigerante / Rojo")</f>
        <v>Refrigerante / Rojo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2" t="s">
        <v>1143</v>
      </c>
      <c r="B614" s="84" t="s">
        <v>1144</v>
      </c>
      <c r="C614" s="48" t="str">
        <f>IFERROR(__xludf.DUMMYFUNCTION("AI(""Introduce un valor adecuado para esta celda según el contexto de la tabla"")"),"H7")</f>
        <v>H7</v>
      </c>
      <c r="D614" s="18"/>
      <c r="E614" s="10"/>
      <c r="F614" s="10"/>
      <c r="G614" s="18"/>
      <c r="H614" s="18" t="str">
        <f>IFERROR(__xludf.DUMMYFUNCTION("AI(""POR LA CATEGORIA QUE ES Y EL COLOR ASI REFRIGERANTE / COLOR"")"),"Refrigerante / Rojo")</f>
        <v>Refrigerante / Rojo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2" t="s">
        <v>1145</v>
      </c>
      <c r="B615" s="84" t="s">
        <v>1146</v>
      </c>
      <c r="C615" s="48" t="str">
        <f>IFERROR(__xludf.DUMMYFUNCTION("AI(""Introduce un valor adecuado para esta celda según el contexto de la tabla"")"),"TEMPERTONE")</f>
        <v>TEMPERTONE</v>
      </c>
      <c r="D615" s="18"/>
      <c r="E615" s="10"/>
      <c r="F615" s="10"/>
      <c r="G615" s="18"/>
      <c r="H615" s="18" t="str">
        <f>IFERROR(__xludf.DUMMYFUNCTION("AI(""POR LA CATEGORIA QUE ES Y EL COLOR ASI REFRIGERANTE / COLOR"")"),"Refrigerante / Rojo")</f>
        <v>Refrigerante / Rojo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2" t="s">
        <v>1147</v>
      </c>
      <c r="B616" s="84" t="s">
        <v>1148</v>
      </c>
      <c r="C616" s="48" t="str">
        <f>IFERROR(__xludf.DUMMYFUNCTION("AI(""Introduce un valor adecuado para esta celda según el contexto de la tabla"")"),"SPEED7")</f>
        <v>SPEED7</v>
      </c>
      <c r="D616" s="18"/>
      <c r="E616" s="10"/>
      <c r="F616" s="10"/>
      <c r="G616" s="18"/>
      <c r="H616" s="18" t="str">
        <f>IFERROR(__xludf.DUMMYFUNCTION("AI(""POR LA CATEGORIA QUE ES Y EL COLOR ASI REFRIGERANTE / COLOR"")"),"Refrigerante / Rojo")</f>
        <v>Refrigerante / Rojo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78" t="s">
        <v>1149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33" t="s">
        <v>32</v>
      </c>
      <c r="B618" s="84" t="s">
        <v>398</v>
      </c>
      <c r="C618" s="48" t="str">
        <f>IFERROR(__xludf.DUMMYFUNCTION("AI(""Introduce un valor adecuado para esta celda según el contexto de la tabla"")"),"AYD")</f>
        <v>AYD</v>
      </c>
      <c r="D618" s="18"/>
      <c r="E618" s="10"/>
      <c r="F618" s="10"/>
      <c r="G618" s="18"/>
      <c r="H618" s="18" t="str">
        <f>IFERROR(__xludf.DUMMYFUNCTION("AI(""pon la categoria pero solo pon una sola"")"),"Tren / Suspensión")</f>
        <v>Tren / Suspensión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33" t="s">
        <v>32</v>
      </c>
      <c r="B619" s="84" t="s">
        <v>755</v>
      </c>
      <c r="C619" s="48" t="str">
        <f>IFERROR(__xludf.DUMMYFUNCTION("AI(""Introduce un valor adecuado para esta celda según el contexto de la tabla"")"),"NATSUKI")</f>
        <v>NATSUKI</v>
      </c>
      <c r="D619" s="18"/>
      <c r="E619" s="10"/>
      <c r="F619" s="10"/>
      <c r="G619" s="18"/>
      <c r="H619" s="18" t="str">
        <f>IFERROR(__xludf.DUMMYFUNCTION("AI(""pon la categoria pero solo pon una sola"")"),"Empacaduras")</f>
        <v>Empacaduras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33" t="s">
        <v>32</v>
      </c>
      <c r="B620" s="84" t="s">
        <v>1150</v>
      </c>
      <c r="C620" s="48" t="str">
        <f>IFERROR(__xludf.DUMMYFUNCTION("AI(""Introduce un valor adecuado para esta celda según el contexto de la tabla"")"),"ICRBI")</f>
        <v>ICRBI</v>
      </c>
      <c r="D620" s="18"/>
      <c r="E620" s="10"/>
      <c r="F620" s="10"/>
      <c r="G620" s="18"/>
      <c r="H620" s="18" t="str">
        <f>IFERROR(__xludf.DUMMYFUNCTION("AI(""pon la categoria pero solo pon una sola"")"),"Empacaduras")</f>
        <v>Empacaduras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33" t="s">
        <v>32</v>
      </c>
      <c r="B621" s="84" t="s">
        <v>1151</v>
      </c>
      <c r="C621" s="48" t="str">
        <f>IFERROR(__xludf.DUMMYFUNCTION("AI(""Introduce un valor adecuado para esta celda según el contexto de la tabla"")"),"KMC")</f>
        <v>KMC</v>
      </c>
      <c r="D621" s="18"/>
      <c r="E621" s="10"/>
      <c r="F621" s="10"/>
      <c r="G621" s="18"/>
      <c r="H621" s="18" t="str">
        <f>IFERROR(__xludf.DUMMYFUNCTION("AI(""pon la categoria pero solo pon una sola"")"),"Motor y Culata")</f>
        <v>Motor y Culata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33" t="s">
        <v>32</v>
      </c>
      <c r="B622" s="84" t="s">
        <v>1152</v>
      </c>
      <c r="C622" s="48" t="str">
        <f>IFERROR(__xludf.DUMMYFUNCTION("AI(""Introduce un valor adecuado para esta celda según el contexto de la tabla"")"),"FRACO")</f>
        <v>FRACO</v>
      </c>
      <c r="D622" s="18"/>
      <c r="E622" s="10"/>
      <c r="F622" s="10"/>
      <c r="G622" s="18"/>
      <c r="H622" s="18" t="str">
        <f>IFERROR(__xludf.DUMMYFUNCTION("AI(""pon la categoria pero solo pon una sola"")"),"Empacaduras")</f>
        <v>Empacaduras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33" t="s">
        <v>32</v>
      </c>
      <c r="B623" s="84" t="s">
        <v>1153</v>
      </c>
      <c r="C623" s="48" t="str">
        <f>IFERROR(__xludf.DUMMYFUNCTION("AI(""Introduce un valor adecuado para esta celda según el contexto de la tabla"")"),"FRACO")</f>
        <v>FRACO</v>
      </c>
      <c r="D623" s="18"/>
      <c r="E623" s="10"/>
      <c r="F623" s="10"/>
      <c r="G623" s="18"/>
      <c r="H623" s="18" t="str">
        <f>IFERROR(__xludf.DUMMYFUNCTION("AI(""pon la categoria pero solo pon una sola"")"),"Empacaduras")</f>
        <v>Empacaduras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33" t="s">
        <v>32</v>
      </c>
      <c r="B624" s="84" t="s">
        <v>773</v>
      </c>
      <c r="C624" s="48" t="str">
        <f>IFERROR(__xludf.DUMMYFUNCTION("AI(""Introduce un valor adecuado para esta celda según el contexto de la tabla"")"),"FRACO")</f>
        <v>FRACO</v>
      </c>
      <c r="D624" s="18"/>
      <c r="E624" s="10"/>
      <c r="F624" s="10"/>
      <c r="G624" s="18"/>
      <c r="H624" s="18" t="str">
        <f>IFERROR(__xludf.DUMMYFUNCTION("AI(""pon la categoria pero solo pon una sola"")"),"Empacaduras")</f>
        <v>Empacaduras</v>
      </c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33" t="s">
        <v>32</v>
      </c>
      <c r="B625" s="84" t="s">
        <v>776</v>
      </c>
      <c r="C625" s="48" t="str">
        <f>IFERROR(__xludf.DUMMYFUNCTION("AI(""Introduce un valor adecuado para esta celda según el contexto de la tabla"")"),"FRACO")</f>
        <v>FRACO</v>
      </c>
      <c r="D625" s="18"/>
      <c r="E625" s="10"/>
      <c r="F625" s="10"/>
      <c r="G625" s="18"/>
      <c r="H625" s="18" t="str">
        <f>IFERROR(__xludf.DUMMYFUNCTION("AI(""pon la categoria pero solo pon una sola"")"),"Empacaduras")</f>
        <v>Empacaduras</v>
      </c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33" t="s">
        <v>32</v>
      </c>
      <c r="B626" s="84" t="s">
        <v>781</v>
      </c>
      <c r="C626" s="48" t="str">
        <f>IFERROR(__xludf.DUMMYFUNCTION("AI(""Introduce un valor adecuado para esta celda según el contexto de la tabla"")"),"FRACO")</f>
        <v>FRACO</v>
      </c>
      <c r="D626" s="18"/>
      <c r="E626" s="10"/>
      <c r="F626" s="10"/>
      <c r="G626" s="18"/>
      <c r="H626" s="18" t="str">
        <f>IFERROR(__xludf.DUMMYFUNCTION("AI(""pon la categoria pero solo pon una sola"")"),"Empacaduras")</f>
        <v>Empacaduras</v>
      </c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33" t="s">
        <v>32</v>
      </c>
      <c r="B627" s="84" t="s">
        <v>1154</v>
      </c>
      <c r="C627" s="48" t="str">
        <f>IFERROR(__xludf.DUMMYFUNCTION("AI(""Introduce un valor adecuado para esta celda según el contexto de la tabla"")"),"FRACO")</f>
        <v>FRACO</v>
      </c>
      <c r="D627" s="18"/>
      <c r="E627" s="10"/>
      <c r="F627" s="10"/>
      <c r="G627" s="18"/>
      <c r="H627" s="18" t="str">
        <f>IFERROR(__xludf.DUMMYFUNCTION("AI(""pon la categoria pero solo pon una sola"")"),"Empacaduras")</f>
        <v>Empacaduras</v>
      </c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33" t="s">
        <v>32</v>
      </c>
      <c r="B628" s="84" t="s">
        <v>1155</v>
      </c>
      <c r="C628" s="48" t="str">
        <f>IFERROR(__xludf.DUMMYFUNCTION("AI(""Introduce un valor adecuado para esta celda según el contexto de la tabla"")"),"FRACO")</f>
        <v>FRACO</v>
      </c>
      <c r="D628" s="18"/>
      <c r="E628" s="10"/>
      <c r="F628" s="10"/>
      <c r="G628" s="18"/>
      <c r="H628" s="18" t="str">
        <f>IFERROR(__xludf.DUMMYFUNCTION("AI(""pon la categoria pero solo pon una sola"")"),"Empacaduras")</f>
        <v>Empacaduras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33" t="s">
        <v>32</v>
      </c>
      <c r="B629" s="84" t="s">
        <v>1156</v>
      </c>
      <c r="C629" s="48" t="str">
        <f>IFERROR(__xludf.DUMMYFUNCTION("AI(""Introduce un valor adecuado para esta celda según el contexto de la tabla"")"),"FRACO")</f>
        <v>FRACO</v>
      </c>
      <c r="D629" s="18"/>
      <c r="E629" s="10"/>
      <c r="F629" s="10"/>
      <c r="G629" s="18"/>
      <c r="H629" s="18" t="str">
        <f>IFERROR(__xludf.DUMMYFUNCTION("AI(""pon la categoria pero solo pon una sola"")"),"Empacaduras")</f>
        <v>Empacaduras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33" t="s">
        <v>32</v>
      </c>
      <c r="B630" s="84" t="s">
        <v>790</v>
      </c>
      <c r="C630" s="48" t="str">
        <f>IFERROR(__xludf.DUMMYFUNCTION("AI(""Introduce un valor adecuado para esta celda según el contexto de la tabla"")"),"FRACO")</f>
        <v>FRACO</v>
      </c>
      <c r="D630" s="18"/>
      <c r="E630" s="10"/>
      <c r="F630" s="10"/>
      <c r="G630" s="18"/>
      <c r="H630" s="18" t="str">
        <f>IFERROR(__xludf.DUMMYFUNCTION("AI(""pon la categoria pero solo pon una sola"")"),"Empacaduras")</f>
        <v>Empacaduras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33" t="s">
        <v>32</v>
      </c>
      <c r="B631" s="84" t="s">
        <v>1157</v>
      </c>
      <c r="C631" s="48" t="str">
        <f>IFERROR(__xludf.DUMMYFUNCTION("AI(""Introduce un valor adecuado para esta celda según el contexto de la tabla"")"),"FRACO")</f>
        <v>FRACO</v>
      </c>
      <c r="D631" s="18"/>
      <c r="E631" s="10"/>
      <c r="F631" s="10"/>
      <c r="G631" s="18"/>
      <c r="H631" s="18" t="str">
        <f>IFERROR(__xludf.DUMMYFUNCTION("AI(""pon la categoria pero solo pon una sola"")"),"Empacaduras")</f>
        <v>Empacaduras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33" t="s">
        <v>32</v>
      </c>
      <c r="B632" s="84" t="s">
        <v>797</v>
      </c>
      <c r="C632" s="48" t="str">
        <f>IFERROR(__xludf.DUMMYFUNCTION("AI(""Introduce un valor adecuado para esta celda según el contexto de la tabla"")"),"GM")</f>
        <v>GM</v>
      </c>
      <c r="D632" s="18"/>
      <c r="E632" s="10"/>
      <c r="F632" s="10"/>
      <c r="G632" s="18"/>
      <c r="H632" s="38" t="s">
        <v>1158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33" t="s">
        <v>32</v>
      </c>
      <c r="B633" s="84" t="s">
        <v>798</v>
      </c>
      <c r="C633" s="48" t="str">
        <f>IFERROR(__xludf.DUMMYFUNCTION("AI(""Introduce un valor adecuado para esta celda según el contexto de la tabla"")"),"GM")</f>
        <v>GM</v>
      </c>
      <c r="D633" s="18"/>
      <c r="E633" s="10"/>
      <c r="F633" s="10"/>
      <c r="G633" s="18"/>
      <c r="H633" s="38" t="s">
        <v>1158</v>
      </c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33" t="s">
        <v>32</v>
      </c>
      <c r="B634" s="84" t="s">
        <v>1159</v>
      </c>
      <c r="C634" s="48" t="str">
        <f>IFERROR(__xludf.DUMMYFUNCTION("AI(""Introduce un valor adecuado para esta celda según el contexto de la tabla"")"),"AYD")</f>
        <v>AYD</v>
      </c>
      <c r="D634" s="18"/>
      <c r="E634" s="10"/>
      <c r="F634" s="10"/>
      <c r="G634" s="18"/>
      <c r="H634" s="38" t="s">
        <v>1158</v>
      </c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33" t="s">
        <v>32</v>
      </c>
      <c r="B635" s="84" t="s">
        <v>804</v>
      </c>
      <c r="C635" s="48" t="str">
        <f>IFERROR(__xludf.DUMMYFUNCTION("AI(""Introduce un valor adecuado para esta celda según el contexto de la tabla"")"),"AYD")</f>
        <v>AYD</v>
      </c>
      <c r="D635" s="18"/>
      <c r="E635" s="10"/>
      <c r="F635" s="10"/>
      <c r="G635" s="18"/>
      <c r="H635" s="38" t="s">
        <v>1158</v>
      </c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33" t="s">
        <v>32</v>
      </c>
      <c r="B636" s="84" t="s">
        <v>806</v>
      </c>
      <c r="C636" s="48" t="str">
        <f>IFERROR(__xludf.DUMMYFUNCTION("AI(""Introduce un valor adecuado para esta celda según el contexto de la tabla"")"),"AYD")</f>
        <v>AYD</v>
      </c>
      <c r="D636" s="18"/>
      <c r="E636" s="10"/>
      <c r="F636" s="10"/>
      <c r="G636" s="18"/>
      <c r="H636" s="38" t="s">
        <v>1158</v>
      </c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33" t="s">
        <v>32</v>
      </c>
      <c r="B637" s="84" t="s">
        <v>810</v>
      </c>
      <c r="C637" s="48" t="str">
        <f>IFERROR(__xludf.DUMMYFUNCTION("AI(""Introduce un valor adecuado para esta celda según el contexto de la tabla"")"),"YUKKAZO")</f>
        <v>YUKKAZO</v>
      </c>
      <c r="D637" s="18"/>
      <c r="E637" s="10"/>
      <c r="F637" s="10"/>
      <c r="G637" s="18"/>
      <c r="H637" s="38" t="s">
        <v>1158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33" t="s">
        <v>32</v>
      </c>
      <c r="B638" s="84" t="s">
        <v>1160</v>
      </c>
      <c r="C638" s="48" t="str">
        <f>IFERROR(__xludf.DUMMYFUNCTION("AI(""Introduce un valor adecuado para esta celda según el contexto de la tabla"")"),"DAEWOO")</f>
        <v>DAEWOO</v>
      </c>
      <c r="D638" s="18"/>
      <c r="E638" s="10"/>
      <c r="F638" s="10"/>
      <c r="G638" s="18"/>
      <c r="H638" s="38" t="s">
        <v>1158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33" t="s">
        <v>32</v>
      </c>
      <c r="B639" s="84" t="s">
        <v>1161</v>
      </c>
      <c r="C639" s="48" t="str">
        <f>IFERROR(__xludf.DUMMYFUNCTION("AI(""Introduce un valor adecuado para esta celda según el contexto de la tabla"")"),"HIBARI")</f>
        <v>HIBARI</v>
      </c>
      <c r="D639" s="18"/>
      <c r="E639" s="10"/>
      <c r="F639" s="10"/>
      <c r="G639" s="18"/>
      <c r="H639" s="38" t="s">
        <v>1158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33" t="s">
        <v>32</v>
      </c>
      <c r="B640" s="84" t="s">
        <v>818</v>
      </c>
      <c r="C640" s="48" t="str">
        <f>IFERROR(__xludf.DUMMYFUNCTION("AI(""Introduce un valor adecuado para esta celda según el contexto de la tabla"")"),"NGS")</f>
        <v>NGS</v>
      </c>
      <c r="D640" s="18"/>
      <c r="E640" s="10"/>
      <c r="F640" s="10"/>
      <c r="G640" s="18"/>
      <c r="H640" s="18" t="str">
        <f>IFERROR(__xludf.DUMMYFUNCTION("AI(""pon la categoria pero solo pon una sola"")"),"Empacaduras")</f>
        <v>Empacaduras</v>
      </c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33" t="s">
        <v>32</v>
      </c>
      <c r="B641" s="84" t="s">
        <v>822</v>
      </c>
      <c r="C641" s="48" t="str">
        <f>IFERROR(__xludf.DUMMYFUNCTION("AI(""Introduce un valor adecuado para esta celda según el contexto de la tabla"")"),"NGS")</f>
        <v>NGS</v>
      </c>
      <c r="D641" s="18"/>
      <c r="E641" s="10"/>
      <c r="F641" s="10"/>
      <c r="G641" s="18"/>
      <c r="H641" s="18" t="str">
        <f>IFERROR(__xludf.DUMMYFUNCTION("AI(""pon la categoria pero solo pon una sola"")"),"Empacaduras")</f>
        <v>Empacaduras</v>
      </c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33" t="s">
        <v>32</v>
      </c>
      <c r="B642" s="84" t="s">
        <v>824</v>
      </c>
      <c r="C642" s="48" t="str">
        <f>IFERROR(__xludf.DUMMYFUNCTION("AI(""Introduce un valor adecuado para esta celda según el contexto de la tabla"")"),"TARANTO")</f>
        <v>TARANTO</v>
      </c>
      <c r="D642" s="18"/>
      <c r="E642" s="10"/>
      <c r="F642" s="10"/>
      <c r="G642" s="18"/>
      <c r="H642" s="18" t="str">
        <f>IFERROR(__xludf.DUMMYFUNCTION("AI(""pon la categoria pero solo pon una sola"")"),"Empacaduras")</f>
        <v>Empacaduras</v>
      </c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33" t="s">
        <v>32</v>
      </c>
      <c r="B643" s="84" t="s">
        <v>1162</v>
      </c>
      <c r="C643" s="48" t="str">
        <f>IFERROR(__xludf.DUMMYFUNCTION("AI(""Introduce un valor adecuado para esta celda según el contexto de la tabla"")"),"CLIPSE")</f>
        <v>CLIPSE</v>
      </c>
      <c r="D643" s="18"/>
      <c r="E643" s="10"/>
      <c r="F643" s="10"/>
      <c r="G643" s="18"/>
      <c r="H643" s="18" t="str">
        <f>IFERROR(__xludf.DUMMYFUNCTION("AI(""pon la categoria pero solo pon una sola"")"),"Bombas de Gasolina")</f>
        <v>Bombas de Gasolina</v>
      </c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33" t="s">
        <v>32</v>
      </c>
      <c r="B644" s="84" t="s">
        <v>1163</v>
      </c>
      <c r="C644" s="48" t="str">
        <f>IFERROR(__xludf.DUMMYFUNCTION("AI(""Introduce un valor adecuado para esta celda según el contexto de la tabla"")"),"BOSCH")</f>
        <v>BOSCH</v>
      </c>
      <c r="D644" s="18"/>
      <c r="E644" s="10"/>
      <c r="F644" s="10"/>
      <c r="G644" s="18"/>
      <c r="H644" s="38" t="s">
        <v>1158</v>
      </c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33" t="s">
        <v>32</v>
      </c>
      <c r="B645" s="84" t="s">
        <v>1164</v>
      </c>
      <c r="C645" s="48" t="str">
        <f>IFERROR(__xludf.DUMMYFUNCTION("AI(""Introduce un valor adecuado para esta celda según el contexto de la tabla"")"),"BOSCH")</f>
        <v>BOSCH</v>
      </c>
      <c r="D645" s="18"/>
      <c r="E645" s="10"/>
      <c r="F645" s="10"/>
      <c r="G645" s="18"/>
      <c r="H645" s="38" t="s">
        <v>1158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33" t="s">
        <v>32</v>
      </c>
      <c r="B646" s="84" t="s">
        <v>1165</v>
      </c>
      <c r="C646" s="48" t="str">
        <f>IFERROR(__xludf.DUMMYFUNCTION("AI(""Introduce un valor adecuado para esta celda según el contexto de la tabla"")"),"BOSCH")</f>
        <v>BOSCH</v>
      </c>
      <c r="D646" s="18"/>
      <c r="E646" s="10"/>
      <c r="F646" s="10"/>
      <c r="G646" s="18"/>
      <c r="H646" s="38" t="s">
        <v>1158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33" t="s">
        <v>32</v>
      </c>
      <c r="B647" s="84" t="s">
        <v>1166</v>
      </c>
      <c r="C647" s="48" t="str">
        <f>IFERROR(__xludf.DUMMYFUNCTION("AI(""Introduce un valor adecuado para esta celda según el contexto de la tabla"")"),"BOSCH")</f>
        <v>BOSCH</v>
      </c>
      <c r="D647" s="18"/>
      <c r="E647" s="10"/>
      <c r="F647" s="10"/>
      <c r="G647" s="18"/>
      <c r="H647" s="38" t="s">
        <v>1158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33" t="s">
        <v>32</v>
      </c>
      <c r="B648" s="84" t="s">
        <v>1167</v>
      </c>
      <c r="C648" s="48" t="str">
        <f>IFERROR(__xludf.DUMMYFUNCTION("AI(""Introduce un valor adecuado para esta celda según el contexto de la tabla"")"),"NGK")</f>
        <v>NGK</v>
      </c>
      <c r="D648" s="18"/>
      <c r="E648" s="10"/>
      <c r="F648" s="10"/>
      <c r="G648" s="18"/>
      <c r="H648" s="38" t="s">
        <v>1158</v>
      </c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33" t="s">
        <v>32</v>
      </c>
      <c r="B649" s="84" t="s">
        <v>1168</v>
      </c>
      <c r="C649" s="48" t="str">
        <f>IFERROR(__xludf.DUMMYFUNCTION("AI(""Introduce un valor adecuado para esta celda según el contexto de la tabla"")"),"ACDelco")</f>
        <v>ACDelco</v>
      </c>
      <c r="D649" s="18"/>
      <c r="E649" s="10"/>
      <c r="F649" s="10"/>
      <c r="G649" s="18"/>
      <c r="H649" s="38" t="s">
        <v>1158</v>
      </c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33" t="s">
        <v>32</v>
      </c>
      <c r="B650" s="84" t="s">
        <v>1169</v>
      </c>
      <c r="C650" s="48" t="str">
        <f>IFERROR(__xludf.DUMMYFUNCTION("AI(""Introduce un valor adecuado para esta celda según el contexto de la tabla"")"),"DENSO")</f>
        <v>DENSO</v>
      </c>
      <c r="D650" s="18"/>
      <c r="E650" s="10"/>
      <c r="F650" s="10"/>
      <c r="G650" s="18"/>
      <c r="H650" s="38" t="s">
        <v>1158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33" t="s">
        <v>32</v>
      </c>
      <c r="B651" s="84" t="s">
        <v>1170</v>
      </c>
      <c r="C651" s="48" t="str">
        <f>IFERROR(__xludf.DUMMYFUNCTION("AI(""Introduce un valor adecuado para esta celda según el contexto de la tabla"")"),"DENSO")</f>
        <v>DENSO</v>
      </c>
      <c r="D651" s="18"/>
      <c r="E651" s="10"/>
      <c r="F651" s="10"/>
      <c r="G651" s="18"/>
      <c r="H651" s="38" t="s">
        <v>1158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33" t="s">
        <v>32</v>
      </c>
      <c r="B652" s="84" t="s">
        <v>1171</v>
      </c>
      <c r="C652" s="48" t="str">
        <f>IFERROR(__xludf.DUMMYFUNCTION("AI(""Introduce un valor adecuado para esta celda según el contexto de la tabla"")"),"DENSO")</f>
        <v>DENSO</v>
      </c>
      <c r="D652" s="18"/>
      <c r="E652" s="10"/>
      <c r="F652" s="10"/>
      <c r="G652" s="18"/>
      <c r="H652" s="38" t="s">
        <v>1158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33" t="s">
        <v>32</v>
      </c>
      <c r="B653" s="84" t="s">
        <v>1172</v>
      </c>
      <c r="C653" s="48" t="str">
        <f>IFERROR(__xludf.DUMMYFUNCTION("AI(""Introduce un valor adecuado para esta celda según el contexto de la tabla"")"),"AKSU")</f>
        <v>AKSU</v>
      </c>
      <c r="D653" s="18"/>
      <c r="E653" s="10"/>
      <c r="F653" s="10"/>
      <c r="G653" s="18"/>
      <c r="H653" s="38" t="s">
        <v>1158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33" t="s">
        <v>32</v>
      </c>
      <c r="B654" s="84" t="s">
        <v>1173</v>
      </c>
      <c r="C654" s="48" t="str">
        <f>IFERROR(__xludf.DUMMYFUNCTION("AI(""Introduce un valor adecuado para esta celda según el contexto de la tabla"")"),"AKSU")</f>
        <v>AKSU</v>
      </c>
      <c r="D654" s="18"/>
      <c r="E654" s="10"/>
      <c r="F654" s="10"/>
      <c r="G654" s="18"/>
      <c r="H654" s="38" t="s">
        <v>1158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33" t="s">
        <v>32</v>
      </c>
      <c r="B655" s="84" t="s">
        <v>1174</v>
      </c>
      <c r="C655" s="48" t="str">
        <f>IFERROR(__xludf.DUMMYFUNCTION("AI(""Introduce un valor adecuado para esta celda según el contexto de la tabla"")"),"MOTORCRAFT")</f>
        <v>MOTORCRAFT</v>
      </c>
      <c r="D655" s="18"/>
      <c r="E655" s="10"/>
      <c r="F655" s="10"/>
      <c r="G655" s="18"/>
      <c r="H655" s="38" t="s">
        <v>1158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33" t="s">
        <v>32</v>
      </c>
      <c r="B656" s="84" t="s">
        <v>1175</v>
      </c>
      <c r="C656" s="34" t="s">
        <v>1176</v>
      </c>
      <c r="D656" s="18"/>
      <c r="E656" s="10"/>
      <c r="F656" s="10"/>
      <c r="G656" s="18"/>
      <c r="H656" s="38" t="s">
        <v>1158</v>
      </c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33" t="s">
        <v>32</v>
      </c>
      <c r="B657" s="84" t="s">
        <v>1177</v>
      </c>
      <c r="C657" s="48" t="str">
        <f>IFERROR(__xludf.DUMMYFUNCTION("AI(""Introduce un valor adecuado para esta celda según el contexto de la tabla"")"),"UNIVERSAL")</f>
        <v>UNIVERSAL</v>
      </c>
      <c r="D657" s="18"/>
      <c r="E657" s="10"/>
      <c r="F657" s="10"/>
      <c r="G657" s="18"/>
      <c r="H657" s="38" t="s">
        <v>1178</v>
      </c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33" t="s">
        <v>32</v>
      </c>
      <c r="B658" s="84" t="s">
        <v>1179</v>
      </c>
      <c r="C658" s="48" t="str">
        <f>IFERROR(__xludf.DUMMYFUNCTION("AI(""Introduce un valor adecuado para esta celda según el contexto de la tabla"")"),"UNIVERSAL")</f>
        <v>UNIVERSAL</v>
      </c>
      <c r="D658" s="18"/>
      <c r="E658" s="10"/>
      <c r="F658" s="10"/>
      <c r="G658" s="18"/>
      <c r="H658" s="38" t="s">
        <v>1178</v>
      </c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33" t="s">
        <v>32</v>
      </c>
      <c r="B659" s="84" t="s">
        <v>1180</v>
      </c>
      <c r="C659" s="48" t="str">
        <f>IFERROR(__xludf.DUMMYFUNCTION("AI(""Introduce un valor adecuado para esta celda según el contexto de la tabla"")"),"UNIVERSAL")</f>
        <v>UNIVERSAL</v>
      </c>
      <c r="D659" s="18"/>
      <c r="E659" s="10"/>
      <c r="F659" s="10"/>
      <c r="G659" s="18"/>
      <c r="H659" s="38" t="s">
        <v>1178</v>
      </c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33" t="s">
        <v>32</v>
      </c>
      <c r="B660" s="84" t="s">
        <v>1181</v>
      </c>
      <c r="C660" s="48" t="str">
        <f>IFERROR(__xludf.DUMMYFUNCTION("AI(""Introduce un valor adecuado para esta celda según el contexto de la tabla"")"),"UNIVERSAL")</f>
        <v>UNIVERSAL</v>
      </c>
      <c r="D660" s="18"/>
      <c r="E660" s="10"/>
      <c r="F660" s="10"/>
      <c r="G660" s="18"/>
      <c r="H660" s="38" t="s">
        <v>1178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33" t="s">
        <v>32</v>
      </c>
      <c r="B661" s="84" t="s">
        <v>1182</v>
      </c>
      <c r="C661" s="48" t="str">
        <f>IFERROR(__xludf.DUMMYFUNCTION("AI(""Introduce un valor adecuado para esta celda según el contexto de la tabla"")"),"FC")</f>
        <v>FC</v>
      </c>
      <c r="D661" s="18"/>
      <c r="E661" s="10"/>
      <c r="F661" s="10"/>
      <c r="G661" s="18"/>
      <c r="H661" s="38" t="s">
        <v>1178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33" t="s">
        <v>32</v>
      </c>
      <c r="B662" s="84" t="s">
        <v>1183</v>
      </c>
      <c r="C662" s="48" t="str">
        <f>IFERROR(__xludf.DUMMYFUNCTION("AI(""Introduce un valor adecuado para esta celda según el contexto de la tabla"")"),"FC")</f>
        <v>FC</v>
      </c>
      <c r="D662" s="18"/>
      <c r="E662" s="10"/>
      <c r="F662" s="10"/>
      <c r="G662" s="18"/>
      <c r="H662" s="38" t="s">
        <v>1178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33" t="s">
        <v>32</v>
      </c>
      <c r="B663" s="84" t="s">
        <v>1184</v>
      </c>
      <c r="C663" s="48" t="str">
        <f>IFERROR(__xludf.DUMMYFUNCTION("AI(""Introduce un valor adecuado para esta celda según el contexto de la tabla"")"),"FC")</f>
        <v>FC</v>
      </c>
      <c r="D663" s="18"/>
      <c r="E663" s="10"/>
      <c r="F663" s="10"/>
      <c r="G663" s="18"/>
      <c r="H663" s="38" t="s">
        <v>1178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33" t="s">
        <v>32</v>
      </c>
      <c r="B664" s="84" t="s">
        <v>1185</v>
      </c>
      <c r="C664" s="48" t="str">
        <f>IFERROR(__xludf.DUMMYFUNCTION("AI(""Introduce un valor adecuado para esta celda según el contexto de la tabla"")"),"FC")</f>
        <v>FC</v>
      </c>
      <c r="D664" s="18"/>
      <c r="E664" s="10"/>
      <c r="F664" s="10"/>
      <c r="G664" s="18"/>
      <c r="H664" s="38" t="s">
        <v>1178</v>
      </c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33" t="s">
        <v>32</v>
      </c>
      <c r="B665" s="84" t="s">
        <v>1186</v>
      </c>
      <c r="C665" s="48" t="str">
        <f>IFERROR(__xludf.DUMMYFUNCTION("AI(""Introduce un valor adecuado para esta celda según el contexto de la tabla"")"),"FC")</f>
        <v>FC</v>
      </c>
      <c r="D665" s="18"/>
      <c r="E665" s="10"/>
      <c r="F665" s="10"/>
      <c r="G665" s="18"/>
      <c r="H665" s="38" t="s">
        <v>1178</v>
      </c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33" t="s">
        <v>32</v>
      </c>
      <c r="B666" s="84" t="s">
        <v>1187</v>
      </c>
      <c r="C666" s="48" t="str">
        <f>IFERROR(__xludf.DUMMYFUNCTION("AI(""Introduce un valor adecuado para esta celda según el contexto de la tabla"")"),"FC")</f>
        <v>FC</v>
      </c>
      <c r="D666" s="18"/>
      <c r="E666" s="10"/>
      <c r="F666" s="10"/>
      <c r="G666" s="18"/>
      <c r="H666" s="38" t="s">
        <v>1178</v>
      </c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33" t="s">
        <v>32</v>
      </c>
      <c r="B667" s="84" t="s">
        <v>1188</v>
      </c>
      <c r="C667" s="48" t="str">
        <f>IFERROR(__xludf.DUMMYFUNCTION("AI(""Introduce un valor adecuado para esta celda según el contexto de la tabla"")"),"Universal")</f>
        <v>Universal</v>
      </c>
      <c r="D667" s="18"/>
      <c r="E667" s="10"/>
      <c r="F667" s="10"/>
      <c r="G667" s="18"/>
      <c r="H667" s="38" t="s">
        <v>1189</v>
      </c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33" t="s">
        <v>32</v>
      </c>
      <c r="B668" s="84" t="s">
        <v>1190</v>
      </c>
      <c r="C668" s="48" t="str">
        <f>IFERROR(__xludf.DUMMYFUNCTION("AI(""Introduce un valor adecuado para esta celda según el contexto de la tabla"")"),"SAFARI")</f>
        <v>SAFARI</v>
      </c>
      <c r="D668" s="18"/>
      <c r="E668" s="10"/>
      <c r="F668" s="10"/>
      <c r="G668" s="18"/>
      <c r="H668" s="38" t="s">
        <v>1189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33" t="s">
        <v>32</v>
      </c>
      <c r="B669" s="84" t="s">
        <v>1191</v>
      </c>
      <c r="C669" s="48" t="str">
        <f>IFERROR(__xludf.DUMMYFUNCTION("AI(""Introduce un valor adecuado para esta celda según el contexto de la tabla"")"),"GENÉRICA")</f>
        <v>GENÉRICA</v>
      </c>
      <c r="D669" s="18"/>
      <c r="E669" s="10"/>
      <c r="F669" s="10"/>
      <c r="G669" s="18"/>
      <c r="H669" s="38" t="s">
        <v>1192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33" t="s">
        <v>32</v>
      </c>
      <c r="B670" s="84" t="s">
        <v>1193</v>
      </c>
      <c r="C670" s="48" t="str">
        <f>IFERROR(__xludf.DUMMYFUNCTION("AI(""Introduce un valor adecuado para esta celda según el contexto de la tabla"")"),"CHERY")</f>
        <v>CHERY</v>
      </c>
      <c r="D670" s="18"/>
      <c r="E670" s="10"/>
      <c r="F670" s="10"/>
      <c r="G670" s="18"/>
      <c r="H670" s="38" t="s">
        <v>1192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33" t="s">
        <v>32</v>
      </c>
      <c r="B671" s="84" t="s">
        <v>1194</v>
      </c>
      <c r="C671" s="48" t="str">
        <f>IFERROR(__xludf.DUMMYFUNCTION("AI(""Introduce un valor adecuado para esta celda según el contexto de la tabla"")"),"CHEVROLET")</f>
        <v>CHEVROLET</v>
      </c>
      <c r="D671" s="18"/>
      <c r="E671" s="10"/>
      <c r="F671" s="10"/>
      <c r="G671" s="18"/>
      <c r="H671" s="38" t="s">
        <v>1192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33" t="s">
        <v>32</v>
      </c>
      <c r="B672" s="84" t="s">
        <v>1195</v>
      </c>
      <c r="C672" s="48" t="str">
        <f>IFERROR(__xludf.DUMMYFUNCTION("AI(""Introduce un valor adecuado para esta celda según el contexto de la tabla"")"),"GENERICO")</f>
        <v>GENERICO</v>
      </c>
      <c r="D672" s="18"/>
      <c r="E672" s="10"/>
      <c r="F672" s="10"/>
      <c r="G672" s="18"/>
      <c r="H672" s="38" t="s">
        <v>1192</v>
      </c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33" t="s">
        <v>32</v>
      </c>
      <c r="B673" s="84" t="s">
        <v>1196</v>
      </c>
      <c r="C673" s="48" t="str">
        <f>IFERROR(__xludf.DUMMYFUNCTION("AI(""Introduce un valor adecuado para esta celda según el contexto de la tabla"")"),"FIAT")</f>
        <v>FIAT</v>
      </c>
      <c r="D673" s="18"/>
      <c r="E673" s="10"/>
      <c r="F673" s="10"/>
      <c r="G673" s="18"/>
      <c r="H673" s="38" t="s">
        <v>1192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33" t="s">
        <v>32</v>
      </c>
      <c r="B674" s="84" t="s">
        <v>1197</v>
      </c>
      <c r="C674" s="48" t="str">
        <f>IFERROR(__xludf.DUMMYFUNCTION("AI(""Introduce un valor adecuado para esta celda según el contexto de la tabla"")"),"FIAT")</f>
        <v>FIAT</v>
      </c>
      <c r="D674" s="18"/>
      <c r="E674" s="10"/>
      <c r="F674" s="10"/>
      <c r="G674" s="18"/>
      <c r="H674" s="38" t="s">
        <v>1192</v>
      </c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78" t="s">
        <v>1198</v>
      </c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33" t="s">
        <v>32</v>
      </c>
      <c r="B676" s="84" t="s">
        <v>647</v>
      </c>
      <c r="C676" s="48" t="str">
        <f>IFERROR(__xludf.DUMMYFUNCTION("AI(""Introduce un valor adecuado para esta celda según el contexto de la tabla"")"),"HAMMER")</f>
        <v>HAMMER</v>
      </c>
      <c r="D676" s="18"/>
      <c r="E676" s="10"/>
      <c r="F676" s="10"/>
      <c r="G676" s="18"/>
      <c r="H676" s="18" t="str">
        <f>IFERROR(__xludf.DUMMYFUNCTION("AI(""Introduce un valor adecuado para esta celda según el contexto de la tabla"")"),"Iluminación / Eléctrico")</f>
        <v>Iluminación / Eléctrico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33" t="s">
        <v>32</v>
      </c>
      <c r="B677" s="84" t="s">
        <v>650</v>
      </c>
      <c r="C677" s="48" t="str">
        <f>IFERROR(__xludf.DUMMYFUNCTION("AI(""Introduce un valor adecuado para esta celda según el contexto de la tabla"")"),"HAMMER")</f>
        <v>HAMMER</v>
      </c>
      <c r="D677" s="18"/>
      <c r="E677" s="10"/>
      <c r="F677" s="10"/>
      <c r="G677" s="18"/>
      <c r="H677" s="18" t="str">
        <f>IFERROR(__xludf.DUMMYFUNCTION("AI(""Introduce un valor adecuado para esta celda según el contexto de la tabla"")"),"Iluminación / Eléctrico")</f>
        <v>Iluminación / Eléctrico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33" t="s">
        <v>32</v>
      </c>
      <c r="B678" s="84" t="s">
        <v>718</v>
      </c>
      <c r="C678" s="48" t="str">
        <f>IFERROR(__xludf.DUMMYFUNCTION("AI(""Introduce un valor adecuado para esta celda según el contexto de la tabla"")"),"PICKEL")</f>
        <v>PICKEL</v>
      </c>
      <c r="D678" s="18"/>
      <c r="E678" s="10"/>
      <c r="F678" s="10"/>
      <c r="G678" s="18"/>
      <c r="H678" s="38" t="s">
        <v>1199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33" t="s">
        <v>32</v>
      </c>
      <c r="B679" s="84" t="s">
        <v>721</v>
      </c>
      <c r="C679" s="48" t="str">
        <f>IFERROR(__xludf.DUMMYFUNCTION("AI(""Introduce un valor adecuado para esta celda según el contexto de la tabla"")"),"MAXELL")</f>
        <v>MAXELL</v>
      </c>
      <c r="D679" s="18"/>
      <c r="E679" s="10"/>
      <c r="F679" s="10"/>
      <c r="G679" s="18"/>
      <c r="H679" s="38" t="s">
        <v>1199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33" t="s">
        <v>32</v>
      </c>
      <c r="B680" s="84" t="s">
        <v>726</v>
      </c>
      <c r="C680" s="48" t="str">
        <f>IFERROR(__xludf.DUMMYFUNCTION("AI(""Introduce un valor adecuado para esta celda según el contexto de la tabla"")"),"MAXELL")</f>
        <v>MAXELL</v>
      </c>
      <c r="D680" s="18"/>
      <c r="E680" s="10"/>
      <c r="F680" s="10"/>
      <c r="G680" s="18"/>
      <c r="H680" s="38" t="s">
        <v>1199</v>
      </c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33" t="s">
        <v>32</v>
      </c>
      <c r="B681" s="84" t="s">
        <v>1200</v>
      </c>
      <c r="C681" s="48" t="str">
        <f>IFERROR(__xludf.DUMMYFUNCTION("AI(""Introduce un valor adecuado para esta celda según el contexto de la tabla"")"),"TR4+")</f>
        <v>TR4+</v>
      </c>
      <c r="D681" s="18"/>
      <c r="E681" s="10"/>
      <c r="F681" s="10"/>
      <c r="G681" s="18"/>
      <c r="H681" s="18" t="str">
        <f>IFERROR(__xludf.DUMMYFUNCTION("AI(""Introduce un valor adecuado para esta celda según el contexto de la tabla"")"),"Iluminación / Faros")</f>
        <v>Iluminación / Faros</v>
      </c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33" t="s">
        <v>32</v>
      </c>
      <c r="B682" s="84" t="s">
        <v>1201</v>
      </c>
      <c r="C682" s="48" t="str">
        <f>IFERROR(__xludf.DUMMYFUNCTION("AI(""Introduce un valor adecuado para esta celda según el contexto de la tabla"")"),"TR4+")</f>
        <v>TR4+</v>
      </c>
      <c r="D682" s="18"/>
      <c r="E682" s="10"/>
      <c r="F682" s="10"/>
      <c r="G682" s="18"/>
      <c r="H682" s="18" t="str">
        <f>IFERROR(__xludf.DUMMYFUNCTION("AI(""Introduce un valor adecuado para esta celda según el contexto de la tabla"")"),"Iluminación / Faros")</f>
        <v>Iluminación / Faros</v>
      </c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33" t="s">
        <v>32</v>
      </c>
      <c r="B683" s="84" t="s">
        <v>1202</v>
      </c>
      <c r="C683" s="48" t="str">
        <f>IFERROR(__xludf.DUMMYFUNCTION("AI(""Introduce un valor adecuado para esta celda según el contexto de la tabla"")"),"TR4+")</f>
        <v>TR4+</v>
      </c>
      <c r="D683" s="18"/>
      <c r="E683" s="10"/>
      <c r="F683" s="10"/>
      <c r="G683" s="18"/>
      <c r="H683" s="18" t="str">
        <f>IFERROR(__xludf.DUMMYFUNCTION("AI(""Introduce un valor adecuado para esta celda según el contexto de la tabla"")"),"Iluminación / Faros")</f>
        <v>Iluminación / Faros</v>
      </c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33" t="s">
        <v>32</v>
      </c>
      <c r="B684" s="84" t="s">
        <v>1203</v>
      </c>
      <c r="C684" s="48" t="str">
        <f>IFERROR(__xludf.DUMMYFUNCTION("AI(""Introduce un valor adecuado para esta celda según el contexto de la tabla"")"),"TR4+")</f>
        <v>TR4+</v>
      </c>
      <c r="D684" s="18"/>
      <c r="E684" s="10"/>
      <c r="F684" s="10"/>
      <c r="G684" s="18"/>
      <c r="H684" s="18" t="str">
        <f>IFERROR(__xludf.DUMMYFUNCTION("AI(""Introduce un valor adecuado para esta celda según el contexto de la tabla"")"),"Iluminación / Faros")</f>
        <v>Iluminación / Faros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33" t="s">
        <v>32</v>
      </c>
      <c r="B685" s="84" t="s">
        <v>1204</v>
      </c>
      <c r="C685" s="48" t="str">
        <f>IFERROR(__xludf.DUMMYFUNCTION("AI(""Introduce un valor adecuado para esta celda según el contexto de la tabla"")"),"TR4+")</f>
        <v>TR4+</v>
      </c>
      <c r="D685" s="18"/>
      <c r="E685" s="10"/>
      <c r="F685" s="10"/>
      <c r="G685" s="18"/>
      <c r="H685" s="18" t="str">
        <f>IFERROR(__xludf.DUMMYFUNCTION("AI(""Introduce un valor adecuado para esta celda según el contexto de la tabla"")"),"Iluminación / Faros")</f>
        <v>Iluminación / Faros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33" t="s">
        <v>32</v>
      </c>
      <c r="B686" s="84" t="s">
        <v>1205</v>
      </c>
      <c r="C686" s="48" t="str">
        <f>IFERROR(__xludf.DUMMYFUNCTION("AI(""Introduce un valor adecuado para esta celda según el contexto de la tabla"")"),"TR4+")</f>
        <v>TR4+</v>
      </c>
      <c r="D686" s="18"/>
      <c r="E686" s="10"/>
      <c r="F686" s="10"/>
      <c r="G686" s="18"/>
      <c r="H686" s="18" t="str">
        <f>IFERROR(__xludf.DUMMYFUNCTION("AI(""Introduce un valor adecuado para esta celda según el contexto de la tabla"")"),"Iluminación / Faros")</f>
        <v>Iluminación / Faros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33" t="s">
        <v>32</v>
      </c>
      <c r="B687" s="84" t="s">
        <v>1206</v>
      </c>
      <c r="C687" s="48" t="str">
        <f>IFERROR(__xludf.DUMMYFUNCTION("AI(""Introduce un valor adecuado para esta celda según el contexto de la tabla"")"),"FLASHARK")</f>
        <v>FLASHARK</v>
      </c>
      <c r="D687" s="18"/>
      <c r="E687" s="10"/>
      <c r="F687" s="10"/>
      <c r="G687" s="18"/>
      <c r="H687" s="18" t="str">
        <f>IFERROR(__xludf.DUMMYFUNCTION("AI(""Introduce un valor adecuado para esta celda según el contexto de la tabla"")"),"Iluminación / Faros")</f>
        <v>Iluminación / Faros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33" t="s">
        <v>32</v>
      </c>
      <c r="B688" s="84" t="s">
        <v>1207</v>
      </c>
      <c r="C688" s="48" t="str">
        <f>IFERROR(__xludf.DUMMYFUNCTION("AI(""Introduce un valor adecuado para esta celda según el contexto de la tabla"")"),"TR4+")</f>
        <v>TR4+</v>
      </c>
      <c r="D688" s="18"/>
      <c r="E688" s="10"/>
      <c r="F688" s="10"/>
      <c r="G688" s="18"/>
      <c r="H688" s="18" t="str">
        <f>IFERROR(__xludf.DUMMYFUNCTION("AI(""Introduce un valor adecuado para esta celda según el contexto de la tabla"")"),"Iluminación / Faros")</f>
        <v>Iluminación / Faros</v>
      </c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33" t="s">
        <v>32</v>
      </c>
      <c r="B689" s="84" t="s">
        <v>1208</v>
      </c>
      <c r="C689" s="48" t="str">
        <f>IFERROR(__xludf.DUMMYFUNCTION("AI(""Introduce un valor adecuado para esta celda según el contexto de la tabla"")"),"TR4+")</f>
        <v>TR4+</v>
      </c>
      <c r="D689" s="18"/>
      <c r="E689" s="10"/>
      <c r="F689" s="10"/>
      <c r="G689" s="18"/>
      <c r="H689" s="18" t="str">
        <f>IFERROR(__xludf.DUMMYFUNCTION("AI(""Introduce un valor adecuado para esta celda según el contexto de la tabla"")"),"Iluminación / Eléctrico")</f>
        <v>Iluminación / Eléctrico</v>
      </c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33" t="s">
        <v>32</v>
      </c>
      <c r="B690" s="84" t="s">
        <v>1209</v>
      </c>
      <c r="C690" s="48" t="str">
        <f>IFERROR(__xludf.DUMMYFUNCTION("AI(""Introduce un valor adecuado para esta celda según el contexto de la tabla"")"),"TR4+")</f>
        <v>TR4+</v>
      </c>
      <c r="D690" s="18"/>
      <c r="E690" s="10"/>
      <c r="F690" s="10"/>
      <c r="G690" s="18"/>
      <c r="H690" s="18" t="str">
        <f>IFERROR(__xludf.DUMMYFUNCTION("AI(""Introduce un valor adecuado para esta celda según el contexto de la tabla"")"),"Iluminación / Moto")</f>
        <v>Iluminación / Moto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33" t="s">
        <v>32</v>
      </c>
      <c r="B691" s="84" t="s">
        <v>1210</v>
      </c>
      <c r="C691" s="48" t="str">
        <f>IFERROR(__xludf.DUMMYFUNCTION("AI(""Introduce un valor adecuado para esta celda según el contexto de la tabla"")"),"TR4+")</f>
        <v>TR4+</v>
      </c>
      <c r="D691" s="18"/>
      <c r="E691" s="10"/>
      <c r="F691" s="10"/>
      <c r="G691" s="18"/>
      <c r="H691" s="18" t="str">
        <f>IFERROR(__xludf.DUMMYFUNCTION("AI(""Introduce un valor adecuado para esta celda según el contexto de la tabla"")"),"Iluminación / Moto")</f>
        <v>Iluminación / Moto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33" t="s">
        <v>32</v>
      </c>
      <c r="B692" s="84" t="s">
        <v>1211</v>
      </c>
      <c r="C692" s="48" t="str">
        <f>IFERROR(__xludf.DUMMYFUNCTION("AI(""Introduce un valor adecuado para esta celda según el contexto de la tabla"")"),"TR4+")</f>
        <v>TR4+</v>
      </c>
      <c r="D692" s="18"/>
      <c r="E692" s="10"/>
      <c r="F692" s="10"/>
      <c r="G692" s="18"/>
      <c r="H692" s="18" t="str">
        <f>IFERROR(__xludf.DUMMYFUNCTION("AI(""Introduce un valor adecuado para esta celda según el contexto de la tabla"")"),"Iluminación / Moto")</f>
        <v>Iluminación / Moto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33" t="s">
        <v>32</v>
      </c>
      <c r="B693" s="84" t="s">
        <v>1212</v>
      </c>
      <c r="C693" s="48" t="str">
        <f>IFERROR(__xludf.DUMMYFUNCTION("AI(""Introduce un valor adecuado para esta celda según el contexto de la tabla"")"),"TR4+")</f>
        <v>TR4+</v>
      </c>
      <c r="D693" s="18"/>
      <c r="E693" s="10"/>
      <c r="F693" s="10"/>
      <c r="G693" s="18"/>
      <c r="H693" s="18" t="str">
        <f>IFERROR(__xludf.DUMMYFUNCTION("AI(""Introduce un valor adecuado para esta celda según el contexto de la tabla"")"),"Iluminación / Moto")</f>
        <v>Iluminación / Moto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33" t="s">
        <v>32</v>
      </c>
      <c r="B694" s="84" t="s">
        <v>1213</v>
      </c>
      <c r="C694" s="48" t="str">
        <f>IFERROR(__xludf.DUMMYFUNCTION("AI(""Introduce un valor adecuado para esta celda según el contexto de la tabla"")"),"TR4+")</f>
        <v>TR4+</v>
      </c>
      <c r="D694" s="18"/>
      <c r="E694" s="10"/>
      <c r="F694" s="10"/>
      <c r="G694" s="18"/>
      <c r="H694" s="18" t="str">
        <f>IFERROR(__xludf.DUMMYFUNCTION("AI(""Introduce un valor adecuado para esta celda según el contexto de la tabla"")"),"Accesorios / Audio y Video")</f>
        <v>Accesorios / Audio y Video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33" t="s">
        <v>32</v>
      </c>
      <c r="B695" s="84" t="s">
        <v>1214</v>
      </c>
      <c r="C695" s="34" t="s">
        <v>470</v>
      </c>
      <c r="D695" s="18"/>
      <c r="E695" s="10"/>
      <c r="F695" s="10"/>
      <c r="G695" s="18"/>
      <c r="H695" s="18" t="str">
        <f>IFERROR(__xludf.DUMMYFUNCTION("AI(""Introduce un valor adecuado para esta celda según el contexto de la tabla"")"),"Accesorios / Electrónica")</f>
        <v>Accesorios / Electrónica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33" t="s">
        <v>32</v>
      </c>
      <c r="B696" s="84" t="s">
        <v>1215</v>
      </c>
      <c r="C696" s="48" t="str">
        <f>IFERROR(__xludf.DUMMYFUNCTION("AI(""Introduce un valor adecuado para esta celda según el contexto de la tabla"")"),"TR4+")</f>
        <v>TR4+</v>
      </c>
      <c r="D696" s="18"/>
      <c r="E696" s="10"/>
      <c r="F696" s="10"/>
      <c r="G696" s="18"/>
      <c r="H696" s="18" t="str">
        <f>IFERROR(__xludf.DUMMYFUNCTION("AI(""Introduce un valor adecuado para esta celda según el contexto de la tabla"")"),"Car Audio / Reproductores")</f>
        <v>Car Audio / Reproductores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33" t="s">
        <v>32</v>
      </c>
      <c r="B697" s="84" t="s">
        <v>1216</v>
      </c>
      <c r="C697" s="48" t="str">
        <f>IFERROR(__xludf.DUMMYFUNCTION("AI(""Introduce un valor adecuado para esta celda según el contexto de la tabla"")"),"TR4+")</f>
        <v>TR4+</v>
      </c>
      <c r="D697" s="18"/>
      <c r="E697" s="10"/>
      <c r="F697" s="10"/>
      <c r="G697" s="18"/>
      <c r="H697" s="18" t="str">
        <f>IFERROR(__xludf.DUMMYFUNCTION("AI(""Introduce un valor adecuado para esta celda según el contexto de la tabla"")"),"Iluminación")</f>
        <v>Iluminación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33" t="s">
        <v>32</v>
      </c>
      <c r="B698" s="84" t="s">
        <v>1217</v>
      </c>
      <c r="C698" s="48" t="str">
        <f>IFERROR(__xludf.DUMMYFUNCTION("AI(""Introduce un valor adecuado para esta celda según el contexto de la tabla"")"),"TR4+")</f>
        <v>TR4+</v>
      </c>
      <c r="D698" s="18"/>
      <c r="E698" s="10"/>
      <c r="F698" s="10"/>
      <c r="G698" s="18"/>
      <c r="H698" s="18" t="str">
        <f>IFERROR(__xludf.DUMMYFUNCTION("AI(""Introduce un valor adecuado para esta celda según el contexto de la tabla"")"),"Iluminación")</f>
        <v>Iluminación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33" t="s">
        <v>32</v>
      </c>
      <c r="B699" s="84" t="s">
        <v>1218</v>
      </c>
      <c r="C699" s="48" t="str">
        <f>IFERROR(__xludf.DUMMYFUNCTION("AI(""Introduce un valor adecuado para esta celda según el contexto de la tabla"")"),"SQ")</f>
        <v>SQ</v>
      </c>
      <c r="D699" s="18"/>
      <c r="E699" s="10"/>
      <c r="F699" s="10"/>
      <c r="G699" s="18"/>
      <c r="H699" s="18" t="str">
        <f>IFERROR(__xludf.DUMMYFUNCTION("AI(""Introduce un valor adecuado para esta celda según el contexto de la tabla"")"),"Iluminación")</f>
        <v>Iluminación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33" t="s">
        <v>32</v>
      </c>
      <c r="B700" s="84" t="s">
        <v>1219</v>
      </c>
      <c r="C700" s="48" t="str">
        <f>IFERROR(__xludf.DUMMYFUNCTION("AI(""Introduce un valor adecuado para esta celda según el contexto de la tabla"")"),"GENÉRICO")</f>
        <v>GENÉRICO</v>
      </c>
      <c r="D700" s="18"/>
      <c r="E700" s="10"/>
      <c r="F700" s="10"/>
      <c r="G700" s="18"/>
      <c r="H700" s="18" t="str">
        <f>IFERROR(__xludf.DUMMYFUNCTION("AI(""Introduce un valor adecuado para esta celda según el contexto de la tabla"")"),"Iluminación")</f>
        <v>Iluminación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33" t="s">
        <v>32</v>
      </c>
      <c r="B701" s="84" t="s">
        <v>1220</v>
      </c>
      <c r="C701" s="48" t="str">
        <f>IFERROR(__xludf.DUMMYFUNCTION("AI(""Introduce un valor adecuado para esta celda según el contexto de la tabla"")"),"GENÉRICO")</f>
        <v>GENÉRICO</v>
      </c>
      <c r="D701" s="18"/>
      <c r="E701" s="10"/>
      <c r="F701" s="10"/>
      <c r="G701" s="18"/>
      <c r="H701" s="18" t="str">
        <f>IFERROR(__xludf.DUMMYFUNCTION("AI(""Introduce un valor adecuado para esta celda según el contexto de la tabla"")"),"Iluminación")</f>
        <v>Iluminación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33" t="s">
        <v>32</v>
      </c>
      <c r="B702" s="84" t="s">
        <v>1221</v>
      </c>
      <c r="C702" s="48" t="str">
        <f>IFERROR(__xludf.DUMMYFUNCTION("AI(""Introduce un valor adecuado para esta celda según el contexto de la tabla"")"),"G15")</f>
        <v>G15</v>
      </c>
      <c r="D702" s="18"/>
      <c r="E702" s="10"/>
      <c r="F702" s="10"/>
      <c r="G702" s="18"/>
      <c r="H702" s="18" t="str">
        <f>IFERROR(__xludf.DUMMYFUNCTION("AI(""Introduce un valor adecuado para esta celda según el contexto de la tabla"")"),"Iluminación")</f>
        <v>Iluminación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33" t="s">
        <v>32</v>
      </c>
      <c r="B703" s="84" t="s">
        <v>1222</v>
      </c>
      <c r="C703" s="34" t="s">
        <v>1223</v>
      </c>
      <c r="D703" s="18"/>
      <c r="E703" s="10"/>
      <c r="F703" s="10"/>
      <c r="G703" s="18"/>
      <c r="H703" s="18" t="str">
        <f>IFERROR(__xludf.DUMMYFUNCTION("AI(""Introduce un valor adecuado para esta celda según el contexto de la tabla"")"),"Iluminación")</f>
        <v>Iluminación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33" t="s">
        <v>32</v>
      </c>
      <c r="B704" s="84" t="s">
        <v>1224</v>
      </c>
      <c r="C704" s="48" t="str">
        <f>IFERROR(__xludf.DUMMYFUNCTION("AI(""Introduce un valor adecuado para esta celda según el contexto de la tabla"")"),"TR4+")</f>
        <v>TR4+</v>
      </c>
      <c r="D704" s="18"/>
      <c r="E704" s="10"/>
      <c r="F704" s="10"/>
      <c r="G704" s="18"/>
      <c r="H704" s="18" t="str">
        <f>IFERROR(__xludf.DUMMYFUNCTION("AI(""Introduce un valor adecuado para esta celda según el contexto de la tabla"")"),"Iluminación")</f>
        <v>Iluminación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33" t="s">
        <v>32</v>
      </c>
      <c r="B705" s="84" t="s">
        <v>1225</v>
      </c>
      <c r="C705" s="48" t="str">
        <f>IFERROR(__xludf.DUMMYFUNCTION("AI(""Introduce un valor adecuado para esta celda según el contexto de la tabla"")"),"TR4+")</f>
        <v>TR4+</v>
      </c>
      <c r="D705" s="18"/>
      <c r="E705" s="10"/>
      <c r="F705" s="10"/>
      <c r="G705" s="18"/>
      <c r="H705" s="18" t="str">
        <f>IFERROR(__xludf.DUMMYFUNCTION("AI(""Introduce un valor adecuado para esta celda según el contexto de la tabla"")"),"Iluminación")</f>
        <v>Iluminación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33" t="s">
        <v>32</v>
      </c>
      <c r="B706" s="84" t="s">
        <v>1226</v>
      </c>
      <c r="C706" s="48" t="str">
        <f>IFERROR(__xludf.DUMMYFUNCTION("AI(""Introduce un valor adecuado para esta celda según el contexto de la tabla"")"),"TR4+")</f>
        <v>TR4+</v>
      </c>
      <c r="D706" s="18"/>
      <c r="E706" s="10"/>
      <c r="F706" s="10"/>
      <c r="G706" s="18"/>
      <c r="H706" s="18" t="str">
        <f>IFERROR(__xludf.DUMMYFUNCTION("AI(""Introduce un valor adecuado para esta celda según el contexto de la tabla"")"),"Iluminación")</f>
        <v>Iluminación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33" t="s">
        <v>32</v>
      </c>
      <c r="B707" s="84" t="s">
        <v>1227</v>
      </c>
      <c r="C707" s="48" t="str">
        <f>IFERROR(__xludf.DUMMYFUNCTION("AI(""Introduce un valor adecuado para esta celda según el contexto de la tabla"")"),"TR4+")</f>
        <v>TR4+</v>
      </c>
      <c r="D707" s="18"/>
      <c r="E707" s="10"/>
      <c r="F707" s="10"/>
      <c r="G707" s="18"/>
      <c r="H707" s="18" t="str">
        <f>IFERROR(__xludf.DUMMYFUNCTION("AI(""Introduce un valor adecuado para esta celda según el contexto de la tabla"")"),"Iluminación")</f>
        <v>Iluminación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33" t="s">
        <v>32</v>
      </c>
      <c r="B708" s="84" t="s">
        <v>1228</v>
      </c>
      <c r="C708" s="48" t="str">
        <f>IFERROR(__xludf.DUMMYFUNCTION("AI(""Introduce un valor adecuado para esta celda según el contexto de la tabla"")"),"TR4+")</f>
        <v>TR4+</v>
      </c>
      <c r="D708" s="18"/>
      <c r="E708" s="10"/>
      <c r="F708" s="10"/>
      <c r="G708" s="18"/>
      <c r="H708" s="18" t="str">
        <f>IFERROR(__xludf.DUMMYFUNCTION("AI(""Introduce un valor adecuado para esta celda según el contexto de la tabla"")"),"Iluminación")</f>
        <v>Iluminación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33" t="s">
        <v>32</v>
      </c>
      <c r="B709" s="84" t="s">
        <v>1230</v>
      </c>
      <c r="C709" s="48" t="str">
        <f>IFERROR(__xludf.DUMMYFUNCTION("AI(""Introduce un valor adecuado para esta celda según el contexto de la tabla"")"),"TR4+")</f>
        <v>TR4+</v>
      </c>
      <c r="D709" s="18"/>
      <c r="E709" s="10"/>
      <c r="F709" s="10"/>
      <c r="G709" s="18"/>
      <c r="H709" s="18" t="str">
        <f>IFERROR(__xludf.DUMMYFUNCTION("AI(""Introduce un valor adecuado para esta celda según el contexto de la tabla"")"),"Iluminación")</f>
        <v>Iluminación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33" t="s">
        <v>32</v>
      </c>
      <c r="B710" s="84" t="s">
        <v>1231</v>
      </c>
      <c r="C710" s="48" t="str">
        <f>IFERROR(__xludf.DUMMYFUNCTION("AI(""Introduce un valor adecuado para esta celda según el contexto de la tabla"")"),"TR4+")</f>
        <v>TR4+</v>
      </c>
      <c r="D710" s="18"/>
      <c r="E710" s="10"/>
      <c r="F710" s="10"/>
      <c r="G710" s="18"/>
      <c r="H710" s="18" t="str">
        <f>IFERROR(__xludf.DUMMYFUNCTION("AI(""Introduce un valor adecuado para esta celda según el contexto de la tabla"")"),"Iluminación")</f>
        <v>Iluminación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33" t="s">
        <v>32</v>
      </c>
      <c r="B711" s="84" t="s">
        <v>1233</v>
      </c>
      <c r="C711" s="48" t="str">
        <f>IFERROR(__xludf.DUMMYFUNCTION("AI(""Introduce un valor adecuado para esta celda según el contexto de la tabla"")"),"TR4+")</f>
        <v>TR4+</v>
      </c>
      <c r="D711" s="18"/>
      <c r="E711" s="10"/>
      <c r="F711" s="10"/>
      <c r="G711" s="18"/>
      <c r="H711" s="18" t="str">
        <f>IFERROR(__xludf.DUMMYFUNCTION("AI(""Introduce un valor adecuado para esta celda según el contexto de la tabla"")"),"Iluminación")</f>
        <v>Iluminación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33" t="s">
        <v>32</v>
      </c>
      <c r="B712" s="84" t="s">
        <v>1234</v>
      </c>
      <c r="C712" s="48" t="str">
        <f>IFERROR(__xludf.DUMMYFUNCTION("AI(""Introduce un valor adecuado para esta celda según el contexto de la tabla"")"),"GENÉRICO")</f>
        <v>GENÉRICO</v>
      </c>
      <c r="D712" s="18"/>
      <c r="E712" s="10"/>
      <c r="F712" s="10"/>
      <c r="G712" s="18"/>
      <c r="H712" s="18" t="str">
        <f>IFERROR(__xludf.DUMMYFUNCTION("AI(""Introduce un valor adecuado para esta celda según el contexto de la tabla"")"),"Electricidad / Accesorios Eléctricos")</f>
        <v>Electricidad / Accesorios Eléctricos</v>
      </c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33" t="s">
        <v>32</v>
      </c>
      <c r="B713" s="84" t="s">
        <v>1235</v>
      </c>
      <c r="C713" s="48" t="str">
        <f>IFERROR(__xludf.DUMMYFUNCTION("AI(""Introduce un valor adecuado para esta celda según el contexto de la tabla"")"),"GENÉRICO")</f>
        <v>GENÉRICO</v>
      </c>
      <c r="D713" s="18"/>
      <c r="E713" s="10"/>
      <c r="F713" s="10"/>
      <c r="G713" s="18"/>
      <c r="H713" s="18" t="str">
        <f>IFERROR(__xludf.DUMMYFUNCTION("AI(""Introduce un valor adecuado para esta celda según el contexto de la tabla"")"),"Electricidad / Accesorios Eléctricos")</f>
        <v>Electricidad / Accesorios Eléctricos</v>
      </c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33" t="s">
        <v>32</v>
      </c>
      <c r="B714" s="84" t="s">
        <v>1236</v>
      </c>
      <c r="C714" s="48" t="str">
        <f>IFERROR(__xludf.DUMMYFUNCTION("AI(""Introduce un valor adecuado para esta celda según el contexto de la tabla"")"),"GENÉRICO")</f>
        <v>GENÉRICO</v>
      </c>
      <c r="D714" s="18"/>
      <c r="E714" s="10"/>
      <c r="F714" s="10"/>
      <c r="G714" s="18"/>
      <c r="H714" s="18" t="str">
        <f>IFERROR(__xludf.DUMMYFUNCTION("AI(""Introduce un valor adecuado para esta celda según el contexto de la tabla"")"),"Electricidad / Accesorios Eléctricos")</f>
        <v>Electricidad / Accesorios Eléctricos</v>
      </c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33" t="s">
        <v>32</v>
      </c>
      <c r="B715" s="84" t="s">
        <v>1237</v>
      </c>
      <c r="C715" s="34" t="s">
        <v>1238</v>
      </c>
      <c r="D715" s="18"/>
      <c r="E715" s="10"/>
      <c r="F715" s="10"/>
      <c r="G715" s="18"/>
      <c r="H715" s="18" t="str">
        <f>IFERROR(__xludf.DUMMYFUNCTION("AI(""Introduce un valor adecuado para esta celda según el contexto de la tabla"")"),"Electricidad / Iluminación")</f>
        <v>Electricidad / Iluminación</v>
      </c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33" t="s">
        <v>32</v>
      </c>
      <c r="B716" s="84" t="s">
        <v>1239</v>
      </c>
      <c r="C716" s="48" t="str">
        <f>IFERROR(__xludf.DUMMYFUNCTION("AI(""Introduce un valor adecuado para esta celda según el contexto de la tabla"")"),"SAFARI")</f>
        <v>SAFARI</v>
      </c>
      <c r="D716" s="18"/>
      <c r="E716" s="10"/>
      <c r="F716" s="10"/>
      <c r="G716" s="18"/>
      <c r="H716" s="18" t="str">
        <f>IFERROR(__xludf.DUMMYFUNCTION("AI(""Introduce un valor adecuado para esta celda según el contexto de la tabla"")"),"Accesorios Eléctricos")</f>
        <v>Accesorios Eléctricos</v>
      </c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33" t="s">
        <v>32</v>
      </c>
      <c r="B717" s="84" t="s">
        <v>1240</v>
      </c>
      <c r="C717" s="48" t="str">
        <f>IFERROR(__xludf.DUMMYFUNCTION("AI(""Introduce un valor adecuado para esta celda según el contexto de la tabla"")"),"SQ")</f>
        <v>SQ</v>
      </c>
      <c r="D717" s="18"/>
      <c r="E717" s="10"/>
      <c r="F717" s="10"/>
      <c r="G717" s="18"/>
      <c r="H717" s="18" t="str">
        <f>IFERROR(__xludf.DUMMYFUNCTION("AI(""Introduce un valor adecuado para esta celda según el contexto de la tabla"")"),"Eléctrico / Fusibles")</f>
        <v>Eléctrico / Fusibles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33" t="s">
        <v>32</v>
      </c>
      <c r="B718" s="84" t="s">
        <v>1241</v>
      </c>
      <c r="C718" s="48" t="str">
        <f>IFERROR(__xludf.DUMMYFUNCTION("AI(""Introduce un valor adecuado para esta celda según el contexto de la tabla"")"),"HELLA")</f>
        <v>HELLA</v>
      </c>
      <c r="D718" s="18"/>
      <c r="E718" s="10"/>
      <c r="F718" s="10"/>
      <c r="G718" s="18"/>
      <c r="H718" s="18" t="str">
        <f>IFERROR(__xludf.DUMMYFUNCTION("AI(""Introduce un valor adecuado para esta celda según el contexto de la tabla"")"),"Iluminación / Bombillos")</f>
        <v>Iluminación / Bombillos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33" t="s">
        <v>32</v>
      </c>
      <c r="B719" s="84" t="s">
        <v>1242</v>
      </c>
      <c r="C719" s="48" t="str">
        <f>IFERROR(__xludf.DUMMYFUNCTION("AI(""Introduce un valor adecuado para esta celda según el contexto de la tabla"")"),"HELLA")</f>
        <v>HELLA</v>
      </c>
      <c r="D719" s="18"/>
      <c r="E719" s="10"/>
      <c r="F719" s="10"/>
      <c r="G719" s="18"/>
      <c r="H719" s="18" t="str">
        <f>IFERROR(__xludf.DUMMYFUNCTION("AI(""Introduce un valor adecuado para esta celda según el contexto de la tabla"")"),"Iluminación / Bombillos")</f>
        <v>Iluminación / Bombillos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33" t="s">
        <v>32</v>
      </c>
      <c r="B720" s="84" t="s">
        <v>1243</v>
      </c>
      <c r="C720" s="48" t="str">
        <f>IFERROR(__xludf.DUMMYFUNCTION("AI(""Introduce un valor adecuado para esta celda según el contexto de la tabla"")"),"HAMMER")</f>
        <v>HAMMER</v>
      </c>
      <c r="D720" s="18"/>
      <c r="E720" s="10"/>
      <c r="F720" s="10"/>
      <c r="G720" s="18"/>
      <c r="H720" s="18" t="str">
        <f>IFERROR(__xludf.DUMMYFUNCTION("AI(""Introduce un valor adecuado para esta celda según el contexto de la tabla"")"),"Iluminación / Bombillos")</f>
        <v>Iluminación / Bombillos</v>
      </c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33" t="s">
        <v>32</v>
      </c>
      <c r="B721" s="84" t="s">
        <v>1244</v>
      </c>
      <c r="C721" s="48" t="str">
        <f>IFERROR(__xludf.DUMMYFUNCTION("AI(""Introduce un valor adecuado para esta celda según el contexto de la tabla"")"),"HAMMER")</f>
        <v>HAMMER</v>
      </c>
      <c r="D721" s="18"/>
      <c r="E721" s="10"/>
      <c r="F721" s="10"/>
      <c r="G721" s="18"/>
      <c r="H721" s="18" t="str">
        <f>IFERROR(__xludf.DUMMYFUNCTION("AI(""Introduce un valor adecuado para esta celda según el contexto de la tabla"")"),"Iluminación / Bombillos")</f>
        <v>Iluminación / Bombillos</v>
      </c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33" t="s">
        <v>32</v>
      </c>
      <c r="B722" s="84" t="s">
        <v>1245</v>
      </c>
      <c r="C722" s="48" t="str">
        <f>IFERROR(__xludf.DUMMYFUNCTION("AI(""Introduce un valor adecuado para esta celda según el contexto de la tabla"")"),"HAMMER")</f>
        <v>HAMMER</v>
      </c>
      <c r="D722" s="18"/>
      <c r="E722" s="10"/>
      <c r="F722" s="10"/>
      <c r="G722" s="18"/>
      <c r="H722" s="18" t="str">
        <f>IFERROR(__xludf.DUMMYFUNCTION("AI(""Introduce un valor adecuado para esta celda según el contexto de la tabla"")"),"Iluminación / Bombillos")</f>
        <v>Iluminación / Bombillos</v>
      </c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33" t="s">
        <v>32</v>
      </c>
      <c r="B723" s="84" t="s">
        <v>1246</v>
      </c>
      <c r="C723" s="34" t="s">
        <v>1247</v>
      </c>
      <c r="D723" s="18"/>
      <c r="E723" s="10"/>
      <c r="F723" s="10"/>
      <c r="G723" s="18"/>
      <c r="H723" s="18" t="str">
        <f>IFERROR(__xludf.DUMMYFUNCTION("AI(""Introduce un valor adecuado para esta celda según el contexto de la tabla"")"),"Iluminación / Bombillos")</f>
        <v>Iluminación / Bombillos</v>
      </c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33" t="s">
        <v>32</v>
      </c>
      <c r="B724" s="84" t="s">
        <v>1248</v>
      </c>
      <c r="C724" s="48" t="str">
        <f>IFERROR(__xludf.DUMMYFUNCTION("AI(""Introduce un valor adecuado para esta celda según el contexto de la tabla"")"),"GENÉRICO")</f>
        <v>GENÉRICO</v>
      </c>
      <c r="D724" s="18"/>
      <c r="E724" s="10"/>
      <c r="F724" s="10"/>
      <c r="G724" s="18"/>
      <c r="H724" s="18" t="str">
        <f>IFERROR(__xludf.DUMMYFUNCTION("AI(""Introduce un valor adecuado para esta celda según el contexto de la tabla"")"),"Iluminación / Bombillos")</f>
        <v>Iluminación / Bombillos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33" t="s">
        <v>32</v>
      </c>
      <c r="B725" s="84" t="s">
        <v>1249</v>
      </c>
      <c r="C725" s="48" t="str">
        <f>IFERROR(__xludf.DUMMYFUNCTION("AI(""Introduce un valor adecuado para esta celda según el contexto de la tabla"")"),"GENÉRICO")</f>
        <v>GENÉRICO</v>
      </c>
      <c r="D725" s="18"/>
      <c r="E725" s="10"/>
      <c r="F725" s="10"/>
      <c r="G725" s="18"/>
      <c r="H725" s="18" t="str">
        <f>IFERROR(__xludf.DUMMYFUNCTION("AI(""Introduce un valor adecuado para esta celda según el contexto de la tabla"")"),"Iluminación / Bombillos")</f>
        <v>Iluminación / Bombillos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33" t="s">
        <v>32</v>
      </c>
      <c r="B726" s="84" t="s">
        <v>1250</v>
      </c>
      <c r="C726" s="48" t="str">
        <f>IFERROR(__xludf.DUMMYFUNCTION("AI(""Introduce un valor adecuado para esta celda según el contexto de la tabla"")"),"GENÉRICO")</f>
        <v>GENÉRICO</v>
      </c>
      <c r="D726" s="18"/>
      <c r="E726" s="10"/>
      <c r="F726" s="10"/>
      <c r="G726" s="18"/>
      <c r="H726" s="18" t="str">
        <f>IFERROR(__xludf.DUMMYFUNCTION("AI(""Introduce un valor adecuado para esta celda según el contexto de la tabla"")"),"Iluminación / Bombillos")</f>
        <v>Iluminación / Bombillos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33" t="s">
        <v>32</v>
      </c>
      <c r="B727" s="10"/>
      <c r="C727" s="48"/>
      <c r="D727" s="18"/>
      <c r="E727" s="10"/>
      <c r="F727" s="10"/>
      <c r="G727" s="18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33" t="s">
        <v>32</v>
      </c>
      <c r="B728" s="10"/>
      <c r="C728" s="48"/>
      <c r="D728" s="18"/>
      <c r="E728" s="10"/>
      <c r="F728" s="10"/>
      <c r="G728" s="18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33" t="s">
        <v>32</v>
      </c>
      <c r="B729" s="10"/>
      <c r="C729" s="48"/>
      <c r="D729" s="18"/>
      <c r="E729" s="10"/>
      <c r="F729" s="10"/>
      <c r="G729" s="18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33" t="s">
        <v>32</v>
      </c>
      <c r="B730" s="10"/>
      <c r="C730" s="48"/>
      <c r="D730" s="18"/>
      <c r="E730" s="10"/>
      <c r="F730" s="10"/>
      <c r="G730" s="18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33" t="s">
        <v>32</v>
      </c>
      <c r="B731" s="10"/>
      <c r="C731" s="48"/>
      <c r="D731" s="18"/>
      <c r="E731" s="10"/>
      <c r="F731" s="10"/>
      <c r="G731" s="18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33" t="s">
        <v>32</v>
      </c>
      <c r="B732" s="10"/>
      <c r="C732" s="48"/>
      <c r="D732" s="18"/>
      <c r="E732" s="10"/>
      <c r="F732" s="10"/>
      <c r="G732" s="18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33" t="s">
        <v>32</v>
      </c>
      <c r="B733" s="10"/>
      <c r="C733" s="48"/>
      <c r="D733" s="18"/>
      <c r="E733" s="10"/>
      <c r="F733" s="10"/>
      <c r="G733" s="18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33" t="s">
        <v>32</v>
      </c>
      <c r="B734" s="10"/>
      <c r="C734" s="48"/>
      <c r="D734" s="18"/>
      <c r="E734" s="10"/>
      <c r="F734" s="10"/>
      <c r="G734" s="18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33" t="s">
        <v>32</v>
      </c>
      <c r="B735" s="10"/>
      <c r="C735" s="48"/>
      <c r="D735" s="18"/>
      <c r="E735" s="10"/>
      <c r="F735" s="10"/>
      <c r="G735" s="18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33" t="s">
        <v>32</v>
      </c>
      <c r="B736" s="10"/>
      <c r="C736" s="48"/>
      <c r="D736" s="18"/>
      <c r="E736" s="10"/>
      <c r="F736" s="10"/>
      <c r="G736" s="18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33" t="s">
        <v>32</v>
      </c>
      <c r="B737" s="10"/>
      <c r="C737" s="48"/>
      <c r="D737" s="18"/>
      <c r="E737" s="10"/>
      <c r="F737" s="10"/>
      <c r="G737" s="18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33" t="s">
        <v>32</v>
      </c>
      <c r="B738" s="10"/>
      <c r="C738" s="48"/>
      <c r="D738" s="18"/>
      <c r="E738" s="10"/>
      <c r="F738" s="10"/>
      <c r="G738" s="18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24"/>
      <c r="B739" s="10"/>
      <c r="C739" s="48"/>
      <c r="D739" s="18"/>
      <c r="E739" s="10"/>
      <c r="F739" s="10"/>
      <c r="G739" s="18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24"/>
      <c r="B740" s="10"/>
      <c r="C740" s="48"/>
      <c r="D740" s="18"/>
      <c r="E740" s="10"/>
      <c r="F740" s="10"/>
      <c r="G740" s="18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24"/>
      <c r="B741" s="10"/>
      <c r="C741" s="48"/>
      <c r="D741" s="18"/>
      <c r="E741" s="10"/>
      <c r="F741" s="10"/>
      <c r="G741" s="18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24"/>
      <c r="B742" s="10"/>
      <c r="C742" s="48"/>
      <c r="D742" s="18"/>
      <c r="E742" s="10"/>
      <c r="F742" s="10"/>
      <c r="G742" s="18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24"/>
      <c r="B743" s="10"/>
      <c r="C743" s="48"/>
      <c r="D743" s="18"/>
      <c r="E743" s="10"/>
      <c r="F743" s="10"/>
      <c r="G743" s="18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24"/>
      <c r="B744" s="10"/>
      <c r="C744" s="48"/>
      <c r="D744" s="18"/>
      <c r="E744" s="10"/>
      <c r="F744" s="10"/>
      <c r="G744" s="18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24"/>
      <c r="B745" s="10"/>
      <c r="C745" s="48"/>
      <c r="D745" s="18"/>
      <c r="E745" s="10"/>
      <c r="F745" s="10"/>
      <c r="G745" s="18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24"/>
      <c r="B746" s="10"/>
      <c r="C746" s="48"/>
      <c r="D746" s="18"/>
      <c r="E746" s="10"/>
      <c r="F746" s="10"/>
      <c r="G746" s="18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24"/>
      <c r="B747" s="10"/>
      <c r="C747" s="48"/>
      <c r="D747" s="18"/>
      <c r="E747" s="10"/>
      <c r="F747" s="10"/>
      <c r="G747" s="18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24"/>
      <c r="B748" s="10"/>
      <c r="C748" s="48"/>
      <c r="D748" s="18"/>
      <c r="E748" s="10"/>
      <c r="F748" s="10"/>
      <c r="G748" s="18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24"/>
      <c r="B749" s="10"/>
      <c r="C749" s="48"/>
      <c r="D749" s="18"/>
      <c r="E749" s="10"/>
      <c r="F749" s="10"/>
      <c r="G749" s="18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24"/>
      <c r="B750" s="10"/>
      <c r="C750" s="48"/>
      <c r="D750" s="18"/>
      <c r="E750" s="10"/>
      <c r="F750" s="10"/>
      <c r="G750" s="18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24"/>
      <c r="B751" s="10"/>
      <c r="C751" s="48"/>
      <c r="D751" s="18"/>
      <c r="E751" s="10"/>
      <c r="F751" s="10"/>
      <c r="G751" s="18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24"/>
      <c r="B752" s="10"/>
      <c r="C752" s="48"/>
      <c r="D752" s="18"/>
      <c r="E752" s="10"/>
      <c r="F752" s="10"/>
      <c r="G752" s="18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24"/>
      <c r="B753" s="10"/>
      <c r="C753" s="48"/>
      <c r="D753" s="18"/>
      <c r="E753" s="10"/>
      <c r="F753" s="10"/>
      <c r="G753" s="18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24"/>
      <c r="B754" s="10"/>
      <c r="C754" s="48"/>
      <c r="D754" s="18"/>
      <c r="E754" s="10"/>
      <c r="F754" s="10"/>
      <c r="G754" s="18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24"/>
      <c r="B755" s="10"/>
      <c r="C755" s="48"/>
      <c r="D755" s="18"/>
      <c r="E755" s="10"/>
      <c r="F755" s="10"/>
      <c r="G755" s="18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24"/>
      <c r="B756" s="10"/>
      <c r="C756" s="48"/>
      <c r="D756" s="18"/>
      <c r="E756" s="10"/>
      <c r="F756" s="10"/>
      <c r="G756" s="18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24"/>
      <c r="B757" s="10"/>
      <c r="C757" s="48"/>
      <c r="D757" s="18"/>
      <c r="E757" s="10"/>
      <c r="F757" s="10"/>
      <c r="G757" s="18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24"/>
      <c r="B758" s="10"/>
      <c r="C758" s="48"/>
      <c r="D758" s="18"/>
      <c r="E758" s="10"/>
      <c r="F758" s="10"/>
      <c r="G758" s="18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24"/>
      <c r="B759" s="10"/>
      <c r="C759" s="48"/>
      <c r="D759" s="18"/>
      <c r="E759" s="10"/>
      <c r="F759" s="10"/>
      <c r="G759" s="18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24"/>
      <c r="B760" s="10"/>
      <c r="C760" s="48"/>
      <c r="D760" s="18"/>
      <c r="E760" s="10"/>
      <c r="F760" s="10"/>
      <c r="G760" s="18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24"/>
      <c r="B761" s="10"/>
      <c r="C761" s="48"/>
      <c r="D761" s="18"/>
      <c r="E761" s="10"/>
      <c r="F761" s="10"/>
      <c r="G761" s="18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24"/>
      <c r="B762" s="10"/>
      <c r="C762" s="48"/>
      <c r="D762" s="18"/>
      <c r="E762" s="10"/>
      <c r="F762" s="10"/>
      <c r="G762" s="18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24"/>
      <c r="B763" s="10"/>
      <c r="C763" s="48"/>
      <c r="D763" s="18"/>
      <c r="E763" s="10"/>
      <c r="F763" s="10"/>
      <c r="G763" s="18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24"/>
      <c r="B764" s="10"/>
      <c r="C764" s="48"/>
      <c r="D764" s="18"/>
      <c r="E764" s="10"/>
      <c r="F764" s="10"/>
      <c r="G764" s="18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24"/>
      <c r="B765" s="10"/>
      <c r="C765" s="48"/>
      <c r="D765" s="18"/>
      <c r="E765" s="10"/>
      <c r="F765" s="10"/>
      <c r="G765" s="18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24"/>
      <c r="B766" s="10"/>
      <c r="C766" s="48"/>
      <c r="D766" s="18"/>
      <c r="E766" s="10"/>
      <c r="F766" s="10"/>
      <c r="G766" s="18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24"/>
      <c r="B767" s="10"/>
      <c r="C767" s="48"/>
      <c r="D767" s="18"/>
      <c r="E767" s="10"/>
      <c r="F767" s="10"/>
      <c r="G767" s="18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24"/>
      <c r="B768" s="10"/>
      <c r="C768" s="48"/>
      <c r="D768" s="18"/>
      <c r="E768" s="10"/>
      <c r="F768" s="10"/>
      <c r="G768" s="18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24"/>
      <c r="B769" s="10"/>
      <c r="C769" s="48"/>
      <c r="D769" s="18"/>
      <c r="E769" s="10"/>
      <c r="F769" s="10"/>
      <c r="G769" s="18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24"/>
      <c r="B770" s="10"/>
      <c r="C770" s="48"/>
      <c r="D770" s="18"/>
      <c r="E770" s="10"/>
      <c r="F770" s="10"/>
      <c r="G770" s="18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24"/>
      <c r="B771" s="10"/>
      <c r="C771" s="48"/>
      <c r="D771" s="18"/>
      <c r="E771" s="10"/>
      <c r="F771" s="10"/>
      <c r="G771" s="18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24"/>
      <c r="B772" s="10"/>
      <c r="C772" s="48"/>
      <c r="D772" s="18"/>
      <c r="E772" s="10"/>
      <c r="F772" s="10"/>
      <c r="G772" s="18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24"/>
      <c r="B773" s="10"/>
      <c r="C773" s="48"/>
      <c r="D773" s="18"/>
      <c r="E773" s="10"/>
      <c r="F773" s="10"/>
      <c r="G773" s="18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24"/>
      <c r="B774" s="10"/>
      <c r="C774" s="48"/>
      <c r="D774" s="18"/>
      <c r="E774" s="10"/>
      <c r="F774" s="10"/>
      <c r="G774" s="18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24"/>
      <c r="B775" s="10"/>
      <c r="C775" s="48"/>
      <c r="D775" s="18"/>
      <c r="E775" s="10"/>
      <c r="F775" s="10"/>
      <c r="G775" s="18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24"/>
      <c r="B776" s="10"/>
      <c r="C776" s="48"/>
      <c r="D776" s="18"/>
      <c r="E776" s="10"/>
      <c r="F776" s="10"/>
      <c r="G776" s="18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24"/>
      <c r="B777" s="10"/>
      <c r="C777" s="48"/>
      <c r="D777" s="18"/>
      <c r="E777" s="10"/>
      <c r="F777" s="10"/>
      <c r="G777" s="18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24"/>
      <c r="B778" s="10"/>
      <c r="C778" s="48"/>
      <c r="D778" s="18"/>
      <c r="E778" s="10"/>
      <c r="F778" s="10"/>
      <c r="G778" s="18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24"/>
      <c r="B779" s="10"/>
      <c r="C779" s="48"/>
      <c r="D779" s="18"/>
      <c r="E779" s="10"/>
      <c r="F779" s="10"/>
      <c r="G779" s="18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24"/>
      <c r="B780" s="10"/>
      <c r="C780" s="48"/>
      <c r="D780" s="18"/>
      <c r="E780" s="10"/>
      <c r="F780" s="10"/>
      <c r="G780" s="18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24"/>
      <c r="B781" s="10"/>
      <c r="C781" s="48"/>
      <c r="D781" s="18"/>
      <c r="E781" s="10"/>
      <c r="F781" s="10"/>
      <c r="G781" s="18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24"/>
      <c r="B782" s="10"/>
      <c r="C782" s="48"/>
      <c r="D782" s="18"/>
      <c r="E782" s="10"/>
      <c r="F782" s="10"/>
      <c r="G782" s="18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24"/>
      <c r="B783" s="10"/>
      <c r="C783" s="48"/>
      <c r="D783" s="18"/>
      <c r="E783" s="10"/>
      <c r="F783" s="10"/>
      <c r="G783" s="18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24"/>
      <c r="B784" s="10"/>
      <c r="C784" s="48"/>
      <c r="D784" s="18"/>
      <c r="E784" s="10"/>
      <c r="F784" s="10"/>
      <c r="G784" s="18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24"/>
      <c r="B785" s="10"/>
      <c r="C785" s="48"/>
      <c r="D785" s="18"/>
      <c r="E785" s="10"/>
      <c r="F785" s="10"/>
      <c r="G785" s="18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24"/>
      <c r="B786" s="10"/>
      <c r="C786" s="48"/>
      <c r="D786" s="18"/>
      <c r="E786" s="10"/>
      <c r="F786" s="10"/>
      <c r="G786" s="18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24"/>
      <c r="B787" s="10"/>
      <c r="C787" s="48"/>
      <c r="D787" s="18"/>
      <c r="E787" s="10"/>
      <c r="F787" s="10"/>
      <c r="G787" s="18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24"/>
      <c r="B788" s="10"/>
      <c r="C788" s="48"/>
      <c r="D788" s="18"/>
      <c r="E788" s="10"/>
      <c r="F788" s="10"/>
      <c r="G788" s="18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24"/>
      <c r="B789" s="10"/>
      <c r="C789" s="48"/>
      <c r="D789" s="18"/>
      <c r="E789" s="10"/>
      <c r="F789" s="10"/>
      <c r="G789" s="18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24"/>
      <c r="B790" s="10"/>
      <c r="C790" s="48"/>
      <c r="D790" s="18"/>
      <c r="E790" s="10"/>
      <c r="F790" s="10"/>
      <c r="G790" s="18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24"/>
      <c r="B791" s="10"/>
      <c r="C791" s="48"/>
      <c r="D791" s="18"/>
      <c r="E791" s="10"/>
      <c r="F791" s="10"/>
      <c r="G791" s="18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24"/>
      <c r="B792" s="10"/>
      <c r="C792" s="48"/>
      <c r="D792" s="18"/>
      <c r="E792" s="10"/>
      <c r="F792" s="10"/>
      <c r="G792" s="18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24"/>
      <c r="B793" s="10"/>
      <c r="C793" s="48"/>
      <c r="D793" s="18"/>
      <c r="E793" s="10"/>
      <c r="F793" s="10"/>
      <c r="G793" s="18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24"/>
      <c r="B794" s="10"/>
      <c r="C794" s="48"/>
      <c r="D794" s="18"/>
      <c r="E794" s="10"/>
      <c r="F794" s="10"/>
      <c r="G794" s="18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24"/>
      <c r="B795" s="10"/>
      <c r="C795" s="48"/>
      <c r="D795" s="18"/>
      <c r="E795" s="10"/>
      <c r="F795" s="10"/>
      <c r="G795" s="18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24"/>
      <c r="B796" s="10"/>
      <c r="C796" s="48"/>
      <c r="D796" s="18"/>
      <c r="E796" s="10"/>
      <c r="F796" s="10"/>
      <c r="G796" s="18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24"/>
      <c r="B797" s="10"/>
      <c r="C797" s="48"/>
      <c r="D797" s="18"/>
      <c r="E797" s="10"/>
      <c r="F797" s="10"/>
      <c r="G797" s="18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24"/>
      <c r="B798" s="10"/>
      <c r="C798" s="48"/>
      <c r="D798" s="18"/>
      <c r="E798" s="10"/>
      <c r="F798" s="10"/>
      <c r="G798" s="18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24"/>
      <c r="B799" s="10"/>
      <c r="C799" s="48"/>
      <c r="D799" s="18"/>
      <c r="E799" s="10"/>
      <c r="F799" s="10"/>
      <c r="G799" s="18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24"/>
      <c r="B800" s="10"/>
      <c r="C800" s="48"/>
      <c r="D800" s="18"/>
      <c r="E800" s="10"/>
      <c r="F800" s="10"/>
      <c r="G800" s="18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24"/>
      <c r="B801" s="10"/>
      <c r="C801" s="48"/>
      <c r="D801" s="18"/>
      <c r="E801" s="10"/>
      <c r="F801" s="10"/>
      <c r="G801" s="18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24"/>
      <c r="B802" s="10"/>
      <c r="C802" s="48"/>
      <c r="D802" s="18"/>
      <c r="E802" s="10"/>
      <c r="F802" s="10"/>
      <c r="G802" s="18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24"/>
      <c r="B803" s="10"/>
      <c r="C803" s="48"/>
      <c r="D803" s="18"/>
      <c r="E803" s="10"/>
      <c r="F803" s="10"/>
      <c r="G803" s="18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24"/>
      <c r="B804" s="10"/>
      <c r="C804" s="48"/>
      <c r="D804" s="18"/>
      <c r="E804" s="10"/>
      <c r="F804" s="10"/>
      <c r="G804" s="18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24"/>
      <c r="B805" s="10"/>
      <c r="C805" s="48"/>
      <c r="D805" s="18"/>
      <c r="E805" s="10"/>
      <c r="F805" s="10"/>
      <c r="G805" s="18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24"/>
      <c r="B806" s="10"/>
      <c r="C806" s="48"/>
      <c r="D806" s="18"/>
      <c r="E806" s="10"/>
      <c r="F806" s="10"/>
      <c r="G806" s="18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24"/>
      <c r="B807" s="10"/>
      <c r="C807" s="48"/>
      <c r="D807" s="18"/>
      <c r="E807" s="10"/>
      <c r="F807" s="10"/>
      <c r="G807" s="18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24"/>
      <c r="B808" s="10"/>
      <c r="C808" s="48"/>
      <c r="D808" s="18"/>
      <c r="E808" s="10"/>
      <c r="F808" s="10"/>
      <c r="G808" s="18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24"/>
      <c r="B809" s="10"/>
      <c r="C809" s="48"/>
      <c r="D809" s="18"/>
      <c r="E809" s="10"/>
      <c r="F809" s="10"/>
      <c r="G809" s="18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24"/>
      <c r="B810" s="10"/>
      <c r="C810" s="48"/>
      <c r="D810" s="18"/>
      <c r="E810" s="10"/>
      <c r="F810" s="10"/>
      <c r="G810" s="18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24"/>
      <c r="B811" s="10"/>
      <c r="C811" s="48"/>
      <c r="D811" s="18"/>
      <c r="E811" s="10"/>
      <c r="F811" s="10"/>
      <c r="G811" s="18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24"/>
      <c r="B812" s="10"/>
      <c r="C812" s="48"/>
      <c r="D812" s="18"/>
      <c r="E812" s="10"/>
      <c r="F812" s="10"/>
      <c r="G812" s="18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24"/>
      <c r="B813" s="10"/>
      <c r="C813" s="48"/>
      <c r="D813" s="18"/>
      <c r="E813" s="10"/>
      <c r="F813" s="10"/>
      <c r="G813" s="18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24"/>
      <c r="B814" s="10"/>
      <c r="C814" s="48"/>
      <c r="D814" s="18"/>
      <c r="E814" s="10"/>
      <c r="F814" s="10"/>
      <c r="G814" s="18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24"/>
      <c r="B815" s="10"/>
      <c r="C815" s="48"/>
      <c r="D815" s="18"/>
      <c r="E815" s="10"/>
      <c r="F815" s="10"/>
      <c r="G815" s="18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24"/>
      <c r="B816" s="10"/>
      <c r="C816" s="48"/>
      <c r="D816" s="18"/>
      <c r="E816" s="10"/>
      <c r="F816" s="10"/>
      <c r="G816" s="18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24"/>
      <c r="B817" s="10"/>
      <c r="C817" s="48"/>
      <c r="D817" s="18"/>
      <c r="E817" s="10"/>
      <c r="F817" s="10"/>
      <c r="G817" s="18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24"/>
      <c r="B818" s="10"/>
      <c r="C818" s="48"/>
      <c r="D818" s="18"/>
      <c r="E818" s="10"/>
      <c r="F818" s="10"/>
      <c r="G818" s="18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24"/>
      <c r="B819" s="10"/>
      <c r="C819" s="48"/>
      <c r="D819" s="18"/>
      <c r="E819" s="10"/>
      <c r="F819" s="10"/>
      <c r="G819" s="18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24"/>
      <c r="B820" s="10"/>
      <c r="C820" s="48"/>
      <c r="D820" s="18"/>
      <c r="E820" s="10"/>
      <c r="F820" s="10"/>
      <c r="G820" s="18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24"/>
      <c r="B821" s="10"/>
      <c r="C821" s="48"/>
      <c r="D821" s="18"/>
      <c r="E821" s="10"/>
      <c r="F821" s="10"/>
      <c r="G821" s="18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24"/>
      <c r="B822" s="10"/>
      <c r="C822" s="48"/>
      <c r="D822" s="18"/>
      <c r="E822" s="10"/>
      <c r="F822" s="10"/>
      <c r="G822" s="18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24"/>
      <c r="B823" s="10"/>
      <c r="C823" s="48"/>
      <c r="D823" s="18"/>
      <c r="E823" s="10"/>
      <c r="F823" s="10"/>
      <c r="G823" s="18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24"/>
      <c r="B824" s="10"/>
      <c r="C824" s="48"/>
      <c r="D824" s="18"/>
      <c r="E824" s="10"/>
      <c r="F824" s="10"/>
      <c r="G824" s="18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24"/>
      <c r="B825" s="10"/>
      <c r="C825" s="48"/>
      <c r="D825" s="18"/>
      <c r="E825" s="10"/>
      <c r="F825" s="10"/>
      <c r="G825" s="18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24"/>
      <c r="B826" s="10"/>
      <c r="C826" s="48"/>
      <c r="D826" s="18"/>
      <c r="E826" s="10"/>
      <c r="F826" s="10"/>
      <c r="G826" s="18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24"/>
      <c r="B827" s="10"/>
      <c r="C827" s="48"/>
      <c r="D827" s="18"/>
      <c r="E827" s="10"/>
      <c r="F827" s="10"/>
      <c r="G827" s="18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24"/>
      <c r="B828" s="10"/>
      <c r="C828" s="48"/>
      <c r="D828" s="18"/>
      <c r="E828" s="10"/>
      <c r="F828" s="10"/>
      <c r="G828" s="18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24"/>
      <c r="B829" s="10"/>
      <c r="C829" s="48"/>
      <c r="D829" s="18"/>
      <c r="E829" s="10"/>
      <c r="F829" s="10"/>
      <c r="G829" s="18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24"/>
      <c r="B830" s="10"/>
      <c r="C830" s="48"/>
      <c r="D830" s="18"/>
      <c r="E830" s="10"/>
      <c r="F830" s="10"/>
      <c r="G830" s="18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24"/>
      <c r="B831" s="10"/>
      <c r="C831" s="48"/>
      <c r="D831" s="18"/>
      <c r="E831" s="10"/>
      <c r="F831" s="10"/>
      <c r="G831" s="18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24"/>
      <c r="B832" s="10"/>
      <c r="C832" s="48"/>
      <c r="D832" s="18"/>
      <c r="E832" s="10"/>
      <c r="F832" s="10"/>
      <c r="G832" s="18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24"/>
      <c r="B833" s="10"/>
      <c r="C833" s="48"/>
      <c r="D833" s="18"/>
      <c r="E833" s="10"/>
      <c r="F833" s="10"/>
      <c r="G833" s="18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24"/>
      <c r="B834" s="10"/>
      <c r="C834" s="48"/>
      <c r="D834" s="18"/>
      <c r="E834" s="10"/>
      <c r="F834" s="10"/>
      <c r="G834" s="18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24"/>
      <c r="B835" s="10"/>
      <c r="C835" s="48"/>
      <c r="D835" s="18"/>
      <c r="E835" s="10"/>
      <c r="F835" s="10"/>
      <c r="G835" s="18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24"/>
      <c r="B836" s="10"/>
      <c r="C836" s="48"/>
      <c r="D836" s="18"/>
      <c r="E836" s="10"/>
      <c r="F836" s="10"/>
      <c r="G836" s="18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24"/>
      <c r="B837" s="10"/>
      <c r="C837" s="48"/>
      <c r="D837" s="18"/>
      <c r="E837" s="10"/>
      <c r="F837" s="10"/>
      <c r="G837" s="18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24"/>
      <c r="B838" s="10"/>
      <c r="C838" s="48"/>
      <c r="D838" s="18"/>
      <c r="E838" s="10"/>
      <c r="F838" s="10"/>
      <c r="G838" s="18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24"/>
      <c r="B839" s="10"/>
      <c r="C839" s="48"/>
      <c r="D839" s="18"/>
      <c r="E839" s="10"/>
      <c r="F839" s="10"/>
      <c r="G839" s="18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24"/>
      <c r="B840" s="10"/>
      <c r="C840" s="48"/>
      <c r="D840" s="18"/>
      <c r="E840" s="10"/>
      <c r="F840" s="10"/>
      <c r="G840" s="18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24"/>
      <c r="B841" s="10"/>
      <c r="C841" s="48"/>
      <c r="D841" s="18"/>
      <c r="E841" s="10"/>
      <c r="F841" s="10"/>
      <c r="G841" s="18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24"/>
      <c r="B842" s="10"/>
      <c r="C842" s="48"/>
      <c r="D842" s="18"/>
      <c r="E842" s="10"/>
      <c r="F842" s="10"/>
      <c r="G842" s="18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24"/>
      <c r="B843" s="10"/>
      <c r="C843" s="48"/>
      <c r="D843" s="18"/>
      <c r="E843" s="10"/>
      <c r="F843" s="10"/>
      <c r="G843" s="18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24"/>
      <c r="B844" s="10"/>
      <c r="C844" s="48"/>
      <c r="D844" s="18"/>
      <c r="E844" s="10"/>
      <c r="F844" s="10"/>
      <c r="G844" s="18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24"/>
      <c r="B845" s="10"/>
      <c r="C845" s="48"/>
      <c r="D845" s="18"/>
      <c r="E845" s="10"/>
      <c r="F845" s="10"/>
      <c r="G845" s="18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24"/>
      <c r="B846" s="10"/>
      <c r="C846" s="48"/>
      <c r="D846" s="18"/>
      <c r="E846" s="10"/>
      <c r="F846" s="10"/>
      <c r="G846" s="18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24"/>
      <c r="B847" s="10"/>
      <c r="C847" s="48"/>
      <c r="D847" s="18"/>
      <c r="E847" s="10"/>
      <c r="F847" s="10"/>
      <c r="G847" s="18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24"/>
      <c r="B848" s="10"/>
      <c r="C848" s="48"/>
      <c r="D848" s="18"/>
      <c r="E848" s="10"/>
      <c r="F848" s="10"/>
      <c r="G848" s="18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24"/>
      <c r="B849" s="10"/>
      <c r="C849" s="48"/>
      <c r="D849" s="18"/>
      <c r="E849" s="10"/>
      <c r="F849" s="10"/>
      <c r="G849" s="18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24"/>
      <c r="B850" s="10"/>
      <c r="C850" s="48"/>
      <c r="D850" s="18"/>
      <c r="E850" s="10"/>
      <c r="F850" s="10"/>
      <c r="G850" s="18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24"/>
      <c r="B851" s="10"/>
      <c r="C851" s="48"/>
      <c r="D851" s="18"/>
      <c r="E851" s="10"/>
      <c r="F851" s="10"/>
      <c r="G851" s="18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24"/>
      <c r="B852" s="10"/>
      <c r="C852" s="48"/>
      <c r="D852" s="18"/>
      <c r="E852" s="10"/>
      <c r="F852" s="10"/>
      <c r="G852" s="18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24"/>
      <c r="B853" s="10"/>
      <c r="C853" s="48"/>
      <c r="D853" s="18"/>
      <c r="E853" s="10"/>
      <c r="F853" s="10"/>
      <c r="G853" s="18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24"/>
      <c r="B854" s="10"/>
      <c r="C854" s="48"/>
      <c r="D854" s="18"/>
      <c r="E854" s="10"/>
      <c r="F854" s="10"/>
      <c r="G854" s="18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24"/>
      <c r="B855" s="10"/>
      <c r="C855" s="48"/>
      <c r="D855" s="18"/>
      <c r="E855" s="10"/>
      <c r="F855" s="10"/>
      <c r="G855" s="18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24"/>
      <c r="B856" s="10"/>
      <c r="C856" s="48"/>
      <c r="D856" s="18"/>
      <c r="E856" s="10"/>
      <c r="F856" s="10"/>
      <c r="G856" s="18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24"/>
      <c r="B857" s="10"/>
      <c r="C857" s="48"/>
      <c r="D857" s="18"/>
      <c r="E857" s="10"/>
      <c r="F857" s="10"/>
      <c r="G857" s="18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24"/>
      <c r="B858" s="10"/>
      <c r="C858" s="48"/>
      <c r="D858" s="18"/>
      <c r="E858" s="10"/>
      <c r="F858" s="10"/>
      <c r="G858" s="18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24"/>
      <c r="B859" s="10"/>
      <c r="C859" s="48"/>
      <c r="D859" s="18"/>
      <c r="E859" s="10"/>
      <c r="F859" s="10"/>
      <c r="G859" s="18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24"/>
      <c r="B860" s="10"/>
      <c r="C860" s="48"/>
      <c r="D860" s="18"/>
      <c r="E860" s="10"/>
      <c r="F860" s="10"/>
      <c r="G860" s="18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24"/>
      <c r="B861" s="10"/>
      <c r="C861" s="48"/>
      <c r="D861" s="18"/>
      <c r="E861" s="10"/>
      <c r="F861" s="10"/>
      <c r="G861" s="18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24"/>
      <c r="B862" s="10"/>
      <c r="C862" s="48"/>
      <c r="D862" s="18"/>
      <c r="E862" s="10"/>
      <c r="F862" s="10"/>
      <c r="G862" s="18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24"/>
      <c r="B863" s="10"/>
      <c r="C863" s="48"/>
      <c r="D863" s="18"/>
      <c r="E863" s="10"/>
      <c r="F863" s="10"/>
      <c r="G863" s="18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24"/>
      <c r="B864" s="10"/>
      <c r="C864" s="48"/>
      <c r="D864" s="18"/>
      <c r="E864" s="10"/>
      <c r="F864" s="10"/>
      <c r="G864" s="18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24"/>
      <c r="B865" s="10"/>
      <c r="C865" s="48"/>
      <c r="D865" s="18"/>
      <c r="E865" s="10"/>
      <c r="F865" s="10"/>
      <c r="G865" s="18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24"/>
      <c r="B866" s="10"/>
      <c r="C866" s="48"/>
      <c r="D866" s="18"/>
      <c r="E866" s="10"/>
      <c r="F866" s="10"/>
      <c r="G866" s="18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24"/>
      <c r="B867" s="10"/>
      <c r="C867" s="48"/>
      <c r="D867" s="18"/>
      <c r="E867" s="10"/>
      <c r="F867" s="10"/>
      <c r="G867" s="18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24"/>
      <c r="B868" s="10"/>
      <c r="C868" s="48"/>
      <c r="D868" s="18"/>
      <c r="E868" s="10"/>
      <c r="F868" s="10"/>
      <c r="G868" s="18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24"/>
      <c r="B869" s="10"/>
      <c r="C869" s="48"/>
      <c r="D869" s="18"/>
      <c r="E869" s="10"/>
      <c r="F869" s="10"/>
      <c r="G869" s="18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24"/>
      <c r="B870" s="10"/>
      <c r="C870" s="48"/>
      <c r="D870" s="18"/>
      <c r="E870" s="10"/>
      <c r="F870" s="10"/>
      <c r="G870" s="18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24"/>
      <c r="B871" s="10"/>
      <c r="C871" s="48"/>
      <c r="D871" s="18"/>
      <c r="E871" s="10"/>
      <c r="F871" s="10"/>
      <c r="G871" s="18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24"/>
      <c r="B872" s="10"/>
      <c r="C872" s="48"/>
      <c r="D872" s="18"/>
      <c r="E872" s="10"/>
      <c r="F872" s="10"/>
      <c r="G872" s="18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24"/>
      <c r="B873" s="10"/>
      <c r="C873" s="48"/>
      <c r="D873" s="18"/>
      <c r="E873" s="10"/>
      <c r="F873" s="10"/>
      <c r="G873" s="18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24"/>
      <c r="B874" s="10"/>
      <c r="C874" s="48"/>
      <c r="D874" s="18"/>
      <c r="E874" s="10"/>
      <c r="F874" s="10"/>
      <c r="G874" s="18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24"/>
      <c r="B875" s="10"/>
      <c r="C875" s="48"/>
      <c r="D875" s="18"/>
      <c r="E875" s="10"/>
      <c r="F875" s="10"/>
      <c r="G875" s="18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24"/>
      <c r="B876" s="10"/>
      <c r="C876" s="48"/>
      <c r="D876" s="18"/>
      <c r="E876" s="10"/>
      <c r="F876" s="10"/>
      <c r="G876" s="18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24"/>
      <c r="B877" s="10"/>
      <c r="C877" s="48"/>
      <c r="D877" s="18"/>
      <c r="E877" s="10"/>
      <c r="F877" s="10"/>
      <c r="G877" s="18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24"/>
      <c r="B878" s="10"/>
      <c r="C878" s="48"/>
      <c r="D878" s="18"/>
      <c r="E878" s="10"/>
      <c r="F878" s="10"/>
      <c r="G878" s="18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24"/>
      <c r="B879" s="10"/>
      <c r="C879" s="48"/>
      <c r="D879" s="18"/>
      <c r="E879" s="10"/>
      <c r="F879" s="10"/>
      <c r="G879" s="18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24"/>
      <c r="B880" s="10"/>
      <c r="C880" s="48"/>
      <c r="D880" s="18"/>
      <c r="E880" s="10"/>
      <c r="F880" s="10"/>
      <c r="G880" s="18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24"/>
      <c r="B881" s="10"/>
      <c r="C881" s="48"/>
      <c r="D881" s="18"/>
      <c r="E881" s="10"/>
      <c r="F881" s="10"/>
      <c r="G881" s="18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24"/>
      <c r="B882" s="10"/>
      <c r="C882" s="48"/>
      <c r="D882" s="18"/>
      <c r="E882" s="10"/>
      <c r="F882" s="10"/>
      <c r="G882" s="18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24"/>
      <c r="B883" s="10"/>
      <c r="C883" s="48"/>
      <c r="D883" s="18"/>
      <c r="E883" s="10"/>
      <c r="F883" s="10"/>
      <c r="G883" s="18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24"/>
      <c r="B884" s="10"/>
      <c r="C884" s="48"/>
      <c r="D884" s="18"/>
      <c r="E884" s="10"/>
      <c r="F884" s="10"/>
      <c r="G884" s="18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24"/>
      <c r="B885" s="10"/>
      <c r="C885" s="48"/>
      <c r="D885" s="18"/>
      <c r="E885" s="10"/>
      <c r="F885" s="10"/>
      <c r="G885" s="18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24"/>
      <c r="B886" s="10"/>
      <c r="C886" s="48"/>
      <c r="D886" s="18"/>
      <c r="E886" s="10"/>
      <c r="F886" s="10"/>
      <c r="G886" s="18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24"/>
      <c r="B887" s="10"/>
      <c r="C887" s="48"/>
      <c r="D887" s="18"/>
      <c r="E887" s="10"/>
      <c r="F887" s="10"/>
      <c r="G887" s="18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24"/>
      <c r="B888" s="10"/>
      <c r="C888" s="48"/>
      <c r="D888" s="18"/>
      <c r="E888" s="10"/>
      <c r="F888" s="10"/>
      <c r="G888" s="18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24"/>
      <c r="B889" s="10"/>
      <c r="C889" s="48"/>
      <c r="D889" s="18"/>
      <c r="E889" s="10"/>
      <c r="F889" s="10"/>
      <c r="G889" s="18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24"/>
      <c r="B890" s="10"/>
      <c r="C890" s="48"/>
      <c r="D890" s="18"/>
      <c r="E890" s="10"/>
      <c r="F890" s="10"/>
      <c r="G890" s="18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24"/>
      <c r="B891" s="10"/>
      <c r="C891" s="48"/>
      <c r="D891" s="18"/>
      <c r="E891" s="10"/>
      <c r="F891" s="10"/>
      <c r="G891" s="18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24"/>
      <c r="B892" s="10"/>
      <c r="C892" s="48"/>
      <c r="D892" s="18"/>
      <c r="E892" s="10"/>
      <c r="F892" s="10"/>
      <c r="G892" s="18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24"/>
      <c r="B893" s="10"/>
      <c r="C893" s="48"/>
      <c r="D893" s="18"/>
      <c r="E893" s="10"/>
      <c r="F893" s="10"/>
      <c r="G893" s="18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24"/>
      <c r="B894" s="10"/>
      <c r="C894" s="48"/>
      <c r="D894" s="18"/>
      <c r="E894" s="10"/>
      <c r="F894" s="10"/>
      <c r="G894" s="18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24"/>
      <c r="B895" s="10"/>
      <c r="C895" s="48"/>
      <c r="D895" s="18"/>
      <c r="E895" s="10"/>
      <c r="F895" s="10"/>
      <c r="G895" s="18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24"/>
      <c r="B896" s="10"/>
      <c r="C896" s="48"/>
      <c r="D896" s="18"/>
      <c r="E896" s="10"/>
      <c r="F896" s="10"/>
      <c r="G896" s="18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24"/>
      <c r="B897" s="10"/>
      <c r="C897" s="48"/>
      <c r="D897" s="18"/>
      <c r="E897" s="10"/>
      <c r="F897" s="10"/>
      <c r="G897" s="18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24"/>
      <c r="B898" s="10"/>
      <c r="C898" s="48"/>
      <c r="D898" s="18"/>
      <c r="E898" s="10"/>
      <c r="F898" s="10"/>
      <c r="G898" s="18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24"/>
      <c r="B899" s="10"/>
      <c r="C899" s="48"/>
      <c r="D899" s="18"/>
      <c r="E899" s="10"/>
      <c r="F899" s="10"/>
      <c r="G899" s="18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24"/>
      <c r="B900" s="10"/>
      <c r="C900" s="48"/>
      <c r="D900" s="18"/>
      <c r="E900" s="10"/>
      <c r="F900" s="10"/>
      <c r="G900" s="18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24"/>
      <c r="B901" s="10"/>
      <c r="C901" s="48"/>
      <c r="D901" s="18"/>
      <c r="E901" s="10"/>
      <c r="F901" s="10"/>
      <c r="G901" s="18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24"/>
      <c r="B902" s="10"/>
      <c r="C902" s="48"/>
      <c r="D902" s="18"/>
      <c r="E902" s="10"/>
      <c r="F902" s="10"/>
      <c r="G902" s="18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24"/>
      <c r="B903" s="10"/>
      <c r="C903" s="48"/>
      <c r="D903" s="18"/>
      <c r="E903" s="10"/>
      <c r="F903" s="10"/>
      <c r="G903" s="18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24"/>
      <c r="B904" s="10"/>
      <c r="C904" s="48"/>
      <c r="D904" s="18"/>
      <c r="E904" s="10"/>
      <c r="F904" s="10"/>
      <c r="G904" s="18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24"/>
      <c r="B905" s="10"/>
      <c r="C905" s="48"/>
      <c r="D905" s="18"/>
      <c r="E905" s="10"/>
      <c r="F905" s="10"/>
      <c r="G905" s="18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24"/>
      <c r="B906" s="10"/>
      <c r="C906" s="48"/>
      <c r="D906" s="18"/>
      <c r="E906" s="10"/>
      <c r="F906" s="10"/>
      <c r="G906" s="18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24"/>
      <c r="B907" s="10"/>
      <c r="C907" s="48"/>
      <c r="D907" s="18"/>
      <c r="E907" s="10"/>
      <c r="F907" s="10"/>
      <c r="G907" s="18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24"/>
      <c r="B908" s="10"/>
      <c r="C908" s="48"/>
      <c r="D908" s="18"/>
      <c r="E908" s="10"/>
      <c r="F908" s="10"/>
      <c r="G908" s="18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24"/>
      <c r="B909" s="10"/>
      <c r="C909" s="48"/>
      <c r="D909" s="18"/>
      <c r="E909" s="10"/>
      <c r="F909" s="10"/>
      <c r="G909" s="18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24"/>
      <c r="B910" s="10"/>
      <c r="C910" s="48"/>
      <c r="D910" s="18"/>
      <c r="E910" s="10"/>
      <c r="F910" s="10"/>
      <c r="G910" s="18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24"/>
      <c r="B911" s="10"/>
      <c r="C911" s="48"/>
      <c r="D911" s="18"/>
      <c r="E911" s="10"/>
      <c r="F911" s="10"/>
      <c r="G911" s="18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24"/>
      <c r="B912" s="10"/>
      <c r="C912" s="48"/>
      <c r="D912" s="18"/>
      <c r="E912" s="10"/>
      <c r="F912" s="10"/>
      <c r="G912" s="18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24"/>
      <c r="B913" s="10"/>
      <c r="C913" s="48"/>
      <c r="D913" s="18"/>
      <c r="E913" s="10"/>
      <c r="F913" s="10"/>
      <c r="G913" s="18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24"/>
      <c r="B914" s="10"/>
      <c r="C914" s="48"/>
      <c r="D914" s="18"/>
      <c r="E914" s="10"/>
      <c r="F914" s="10"/>
      <c r="G914" s="18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24"/>
      <c r="B915" s="10"/>
      <c r="C915" s="48"/>
      <c r="D915" s="18"/>
      <c r="E915" s="10"/>
      <c r="F915" s="10"/>
      <c r="G915" s="18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24"/>
      <c r="B916" s="10"/>
      <c r="C916" s="48"/>
      <c r="D916" s="18"/>
      <c r="E916" s="10"/>
      <c r="F916" s="10"/>
      <c r="G916" s="18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24"/>
      <c r="B917" s="10"/>
      <c r="C917" s="48"/>
      <c r="D917" s="18"/>
      <c r="E917" s="10"/>
      <c r="F917" s="10"/>
      <c r="G917" s="18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24"/>
      <c r="B918" s="10"/>
      <c r="C918" s="48"/>
      <c r="D918" s="18"/>
      <c r="E918" s="10"/>
      <c r="F918" s="10"/>
      <c r="G918" s="18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24"/>
      <c r="B919" s="10"/>
      <c r="C919" s="48"/>
      <c r="D919" s="18"/>
      <c r="E919" s="10"/>
      <c r="F919" s="10"/>
      <c r="G919" s="18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24"/>
      <c r="B920" s="10"/>
      <c r="C920" s="48"/>
      <c r="D920" s="18"/>
      <c r="E920" s="10"/>
      <c r="F920" s="10"/>
      <c r="G920" s="18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24"/>
      <c r="B921" s="10"/>
      <c r="C921" s="48"/>
      <c r="D921" s="18"/>
      <c r="E921" s="10"/>
      <c r="F921" s="10"/>
      <c r="G921" s="18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24"/>
      <c r="B922" s="10"/>
      <c r="C922" s="48"/>
      <c r="D922" s="18"/>
      <c r="E922" s="10"/>
      <c r="F922" s="10"/>
      <c r="G922" s="18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24"/>
      <c r="B923" s="10"/>
      <c r="C923" s="48"/>
      <c r="D923" s="18"/>
      <c r="E923" s="10"/>
      <c r="F923" s="10"/>
      <c r="G923" s="18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24"/>
      <c r="B924" s="10"/>
      <c r="C924" s="48"/>
      <c r="D924" s="18"/>
      <c r="E924" s="10"/>
      <c r="F924" s="10"/>
      <c r="G924" s="18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24"/>
      <c r="B925" s="10"/>
      <c r="C925" s="48"/>
      <c r="D925" s="18"/>
      <c r="E925" s="10"/>
      <c r="F925" s="10"/>
      <c r="G925" s="18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24"/>
      <c r="B926" s="10"/>
      <c r="C926" s="48"/>
      <c r="D926" s="18"/>
      <c r="E926" s="10"/>
      <c r="F926" s="10"/>
      <c r="G926" s="18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24"/>
      <c r="B927" s="10"/>
      <c r="C927" s="48"/>
      <c r="D927" s="18"/>
      <c r="E927" s="10"/>
      <c r="F927" s="10"/>
      <c r="G927" s="18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24"/>
      <c r="B928" s="10"/>
      <c r="C928" s="48"/>
      <c r="D928" s="18"/>
      <c r="E928" s="10"/>
      <c r="F928" s="10"/>
      <c r="G928" s="18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24"/>
      <c r="B929" s="10"/>
      <c r="C929" s="48"/>
      <c r="D929" s="18"/>
      <c r="E929" s="10"/>
      <c r="F929" s="10"/>
      <c r="G929" s="18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24"/>
      <c r="B930" s="10"/>
      <c r="C930" s="48"/>
      <c r="D930" s="18"/>
      <c r="E930" s="10"/>
      <c r="F930" s="10"/>
      <c r="G930" s="18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24"/>
      <c r="B931" s="10"/>
      <c r="C931" s="48"/>
      <c r="D931" s="18"/>
      <c r="E931" s="10"/>
      <c r="F931" s="10"/>
      <c r="G931" s="18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24"/>
      <c r="B932" s="10"/>
      <c r="C932" s="48"/>
      <c r="D932" s="18"/>
      <c r="E932" s="10"/>
      <c r="F932" s="10"/>
      <c r="G932" s="18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24"/>
      <c r="B933" s="10"/>
      <c r="C933" s="48"/>
      <c r="D933" s="18"/>
      <c r="E933" s="10"/>
      <c r="F933" s="10"/>
      <c r="G933" s="18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24"/>
      <c r="B934" s="10"/>
      <c r="C934" s="48"/>
      <c r="D934" s="18"/>
      <c r="E934" s="10"/>
      <c r="F934" s="10"/>
      <c r="G934" s="18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24"/>
      <c r="B935" s="10"/>
      <c r="C935" s="48"/>
      <c r="D935" s="18"/>
      <c r="E935" s="10"/>
      <c r="F935" s="10"/>
      <c r="G935" s="18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24"/>
      <c r="B936" s="10"/>
      <c r="C936" s="48"/>
      <c r="D936" s="18"/>
      <c r="E936" s="10"/>
      <c r="F936" s="10"/>
      <c r="G936" s="18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24"/>
      <c r="B937" s="10"/>
      <c r="C937" s="48"/>
      <c r="D937" s="18"/>
      <c r="E937" s="10"/>
      <c r="F937" s="10"/>
      <c r="G937" s="18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24"/>
      <c r="B938" s="10"/>
      <c r="C938" s="48"/>
      <c r="D938" s="18"/>
      <c r="E938" s="10"/>
      <c r="F938" s="10"/>
      <c r="G938" s="18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24"/>
      <c r="B939" s="10"/>
      <c r="C939" s="48"/>
      <c r="D939" s="18"/>
      <c r="E939" s="10"/>
      <c r="F939" s="10"/>
      <c r="G939" s="18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24"/>
      <c r="B940" s="10"/>
      <c r="C940" s="48"/>
      <c r="D940" s="18"/>
      <c r="E940" s="10"/>
      <c r="F940" s="10"/>
      <c r="G940" s="18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24"/>
      <c r="B941" s="10"/>
      <c r="C941" s="48"/>
      <c r="D941" s="18"/>
      <c r="E941" s="10"/>
      <c r="F941" s="10"/>
      <c r="G941" s="18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24"/>
      <c r="B942" s="10"/>
      <c r="C942" s="48"/>
      <c r="D942" s="18"/>
      <c r="E942" s="10"/>
      <c r="F942" s="10"/>
      <c r="G942" s="18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24"/>
      <c r="B943" s="10"/>
      <c r="C943" s="48"/>
      <c r="D943" s="18"/>
      <c r="E943" s="10"/>
      <c r="F943" s="10"/>
      <c r="G943" s="18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24"/>
      <c r="B944" s="10"/>
      <c r="C944" s="48"/>
      <c r="D944" s="18"/>
      <c r="E944" s="10"/>
      <c r="F944" s="10"/>
      <c r="G944" s="18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24"/>
      <c r="B945" s="10"/>
      <c r="C945" s="48"/>
      <c r="D945" s="18"/>
      <c r="E945" s="10"/>
      <c r="F945" s="10"/>
      <c r="G945" s="18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24"/>
      <c r="B946" s="10"/>
      <c r="C946" s="48"/>
      <c r="D946" s="18"/>
      <c r="E946" s="10"/>
      <c r="F946" s="10"/>
      <c r="G946" s="18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24"/>
      <c r="B947" s="10"/>
      <c r="C947" s="48"/>
      <c r="D947" s="18"/>
      <c r="E947" s="10"/>
      <c r="F947" s="10"/>
      <c r="G947" s="18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24"/>
      <c r="B948" s="10"/>
      <c r="C948" s="48"/>
      <c r="D948" s="18"/>
      <c r="E948" s="10"/>
      <c r="F948" s="10"/>
      <c r="G948" s="18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24"/>
      <c r="B949" s="10"/>
      <c r="C949" s="48"/>
      <c r="D949" s="18"/>
      <c r="E949" s="10"/>
      <c r="F949" s="10"/>
      <c r="G949" s="18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24"/>
      <c r="B950" s="10"/>
      <c r="C950" s="48"/>
      <c r="D950" s="18"/>
      <c r="E950" s="10"/>
      <c r="F950" s="10"/>
      <c r="G950" s="18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24"/>
      <c r="B951" s="10"/>
      <c r="C951" s="48"/>
      <c r="D951" s="18"/>
      <c r="E951" s="10"/>
      <c r="F951" s="10"/>
      <c r="G951" s="18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24"/>
      <c r="B952" s="10"/>
      <c r="C952" s="48"/>
      <c r="D952" s="18"/>
      <c r="E952" s="10"/>
      <c r="F952" s="10"/>
      <c r="G952" s="18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24"/>
      <c r="B953" s="10"/>
      <c r="C953" s="48"/>
      <c r="D953" s="18"/>
      <c r="E953" s="10"/>
      <c r="F953" s="10"/>
      <c r="G953" s="18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24"/>
      <c r="B954" s="10"/>
      <c r="C954" s="48"/>
      <c r="D954" s="18"/>
      <c r="E954" s="10"/>
      <c r="F954" s="10"/>
      <c r="G954" s="18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24"/>
      <c r="B955" s="10"/>
      <c r="C955" s="48"/>
      <c r="D955" s="18"/>
      <c r="E955" s="10"/>
      <c r="F955" s="10"/>
      <c r="G955" s="18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24"/>
      <c r="B956" s="10"/>
      <c r="C956" s="48"/>
      <c r="D956" s="18"/>
      <c r="E956" s="10"/>
      <c r="F956" s="10"/>
      <c r="G956" s="18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24"/>
      <c r="B957" s="10"/>
      <c r="C957" s="48"/>
      <c r="D957" s="18"/>
      <c r="E957" s="10"/>
      <c r="F957" s="10"/>
      <c r="G957" s="18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24"/>
      <c r="B958" s="10"/>
      <c r="C958" s="48"/>
      <c r="D958" s="18"/>
      <c r="E958" s="10"/>
      <c r="F958" s="10"/>
      <c r="G958" s="18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24"/>
      <c r="B959" s="10"/>
      <c r="C959" s="48"/>
      <c r="D959" s="18"/>
      <c r="E959" s="10"/>
      <c r="F959" s="10"/>
      <c r="G959" s="18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24"/>
      <c r="B960" s="10"/>
      <c r="C960" s="48"/>
      <c r="D960" s="18"/>
      <c r="E960" s="10"/>
      <c r="F960" s="10"/>
      <c r="G960" s="18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24"/>
      <c r="B961" s="10"/>
      <c r="C961" s="48"/>
      <c r="D961" s="18"/>
      <c r="E961" s="10"/>
      <c r="F961" s="10"/>
      <c r="G961" s="18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24"/>
      <c r="B962" s="10"/>
      <c r="C962" s="48"/>
      <c r="D962" s="18"/>
      <c r="E962" s="10"/>
      <c r="F962" s="10"/>
      <c r="G962" s="18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24"/>
      <c r="B963" s="10"/>
      <c r="C963" s="48"/>
      <c r="D963" s="18"/>
      <c r="E963" s="10"/>
      <c r="F963" s="10"/>
      <c r="G963" s="18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24"/>
      <c r="B964" s="10"/>
      <c r="C964" s="48"/>
      <c r="D964" s="18"/>
      <c r="E964" s="10"/>
      <c r="F964" s="10"/>
      <c r="G964" s="18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24"/>
      <c r="B965" s="10"/>
      <c r="C965" s="48"/>
      <c r="D965" s="18"/>
      <c r="E965" s="10"/>
      <c r="F965" s="10"/>
      <c r="G965" s="18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24"/>
      <c r="B966" s="10"/>
      <c r="C966" s="48"/>
      <c r="D966" s="18"/>
      <c r="E966" s="10"/>
      <c r="F966" s="10"/>
      <c r="G966" s="18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24"/>
      <c r="B967" s="10"/>
      <c r="C967" s="48"/>
      <c r="D967" s="18"/>
      <c r="E967" s="10"/>
      <c r="F967" s="10"/>
      <c r="G967" s="18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24"/>
      <c r="B968" s="10"/>
      <c r="C968" s="48"/>
      <c r="D968" s="18"/>
      <c r="E968" s="10"/>
      <c r="F968" s="10"/>
      <c r="G968" s="18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24"/>
      <c r="B969" s="10"/>
      <c r="C969" s="48"/>
      <c r="D969" s="18"/>
      <c r="E969" s="10"/>
      <c r="F969" s="10"/>
      <c r="G969" s="18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24"/>
      <c r="B970" s="10"/>
      <c r="C970" s="48"/>
      <c r="D970" s="18"/>
      <c r="E970" s="10"/>
      <c r="F970" s="10"/>
      <c r="G970" s="18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24"/>
      <c r="B971" s="10"/>
      <c r="C971" s="48"/>
      <c r="D971" s="18"/>
      <c r="E971" s="10"/>
      <c r="F971" s="10"/>
      <c r="G971" s="18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24"/>
      <c r="B972" s="10"/>
      <c r="C972" s="48"/>
      <c r="D972" s="18"/>
      <c r="E972" s="10"/>
      <c r="F972" s="10"/>
      <c r="G972" s="18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24"/>
      <c r="B973" s="10"/>
      <c r="C973" s="48"/>
      <c r="D973" s="18"/>
      <c r="E973" s="10"/>
      <c r="F973" s="10"/>
      <c r="G973" s="18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24"/>
      <c r="B974" s="10"/>
      <c r="C974" s="48"/>
      <c r="D974" s="18"/>
      <c r="E974" s="10"/>
      <c r="F974" s="10"/>
      <c r="G974" s="18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24"/>
      <c r="B975" s="10"/>
      <c r="C975" s="48"/>
      <c r="D975" s="18"/>
      <c r="E975" s="10"/>
      <c r="F975" s="10"/>
      <c r="G975" s="18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24"/>
      <c r="B976" s="10"/>
      <c r="C976" s="48"/>
      <c r="D976" s="18"/>
      <c r="E976" s="10"/>
      <c r="F976" s="10"/>
      <c r="G976" s="18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24"/>
      <c r="B977" s="10"/>
      <c r="C977" s="48"/>
      <c r="D977" s="18"/>
      <c r="E977" s="10"/>
      <c r="F977" s="10"/>
      <c r="G977" s="18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24"/>
      <c r="B978" s="10"/>
      <c r="C978" s="48"/>
      <c r="D978" s="18"/>
      <c r="E978" s="10"/>
      <c r="F978" s="10"/>
      <c r="G978" s="18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24"/>
      <c r="B979" s="10"/>
      <c r="C979" s="48"/>
      <c r="D979" s="18"/>
      <c r="E979" s="10"/>
      <c r="F979" s="10"/>
      <c r="G979" s="18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24"/>
      <c r="B980" s="10"/>
      <c r="C980" s="48"/>
      <c r="D980" s="18"/>
      <c r="E980" s="10"/>
      <c r="F980" s="10"/>
      <c r="G980" s="18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24"/>
      <c r="B981" s="10"/>
      <c r="C981" s="48"/>
      <c r="D981" s="18"/>
      <c r="E981" s="10"/>
      <c r="F981" s="10"/>
      <c r="G981" s="18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24"/>
      <c r="B982" s="10"/>
      <c r="C982" s="48"/>
      <c r="D982" s="18"/>
      <c r="E982" s="10"/>
      <c r="F982" s="10"/>
      <c r="G982" s="18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24"/>
      <c r="B983" s="10"/>
      <c r="C983" s="48"/>
      <c r="D983" s="18"/>
      <c r="E983" s="10"/>
      <c r="F983" s="10"/>
      <c r="G983" s="18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24"/>
      <c r="B984" s="10"/>
      <c r="C984" s="48"/>
      <c r="D984" s="18"/>
      <c r="E984" s="10"/>
      <c r="F984" s="10"/>
      <c r="G984" s="18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24"/>
      <c r="B985" s="10"/>
      <c r="C985" s="48"/>
      <c r="D985" s="18"/>
      <c r="E985" s="10"/>
      <c r="F985" s="10"/>
      <c r="G985" s="18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24"/>
      <c r="B986" s="10"/>
      <c r="C986" s="48"/>
      <c r="D986" s="18"/>
      <c r="E986" s="10"/>
      <c r="F986" s="10"/>
      <c r="G986" s="18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24"/>
      <c r="B987" s="10"/>
      <c r="C987" s="48"/>
      <c r="D987" s="18"/>
      <c r="E987" s="10"/>
      <c r="F987" s="10"/>
      <c r="G987" s="18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24"/>
      <c r="B988" s="10"/>
      <c r="C988" s="48"/>
      <c r="D988" s="18"/>
      <c r="E988" s="10"/>
      <c r="F988" s="10"/>
      <c r="G988" s="18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24"/>
      <c r="B989" s="10"/>
      <c r="C989" s="48"/>
      <c r="D989" s="18"/>
      <c r="E989" s="10"/>
      <c r="F989" s="10"/>
      <c r="G989" s="18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24"/>
      <c r="B990" s="10"/>
      <c r="C990" s="48"/>
      <c r="D990" s="18"/>
      <c r="E990" s="10"/>
      <c r="F990" s="10"/>
      <c r="G990" s="18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24"/>
      <c r="B991" s="10"/>
      <c r="C991" s="48"/>
      <c r="D991" s="18"/>
      <c r="E991" s="10"/>
      <c r="F991" s="10"/>
      <c r="G991" s="18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24"/>
      <c r="B992" s="10"/>
      <c r="C992" s="48"/>
      <c r="D992" s="18"/>
      <c r="E992" s="10"/>
      <c r="F992" s="10"/>
      <c r="G992" s="18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24"/>
      <c r="B993" s="10"/>
      <c r="C993" s="48"/>
      <c r="D993" s="18"/>
      <c r="E993" s="10"/>
      <c r="F993" s="10"/>
      <c r="G993" s="18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24"/>
      <c r="B994" s="10"/>
      <c r="C994" s="48"/>
      <c r="D994" s="18"/>
      <c r="E994" s="10"/>
      <c r="F994" s="10"/>
      <c r="G994" s="18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24"/>
      <c r="B995" s="10"/>
      <c r="C995" s="48"/>
      <c r="D995" s="18"/>
      <c r="E995" s="10"/>
      <c r="F995" s="10"/>
      <c r="G995" s="18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24"/>
      <c r="B996" s="10"/>
      <c r="C996" s="48"/>
      <c r="D996" s="18"/>
      <c r="E996" s="10"/>
      <c r="F996" s="10"/>
      <c r="G996" s="18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24"/>
      <c r="B997" s="10"/>
      <c r="C997" s="48"/>
      <c r="D997" s="18"/>
      <c r="E997" s="10"/>
      <c r="F997" s="10"/>
      <c r="G997" s="18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24"/>
      <c r="B998" s="10"/>
      <c r="C998" s="48"/>
      <c r="D998" s="18"/>
      <c r="E998" s="10"/>
      <c r="F998" s="10"/>
      <c r="G998" s="18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24"/>
      <c r="B999" s="10"/>
      <c r="C999" s="48"/>
      <c r="D999" s="18"/>
      <c r="E999" s="10"/>
      <c r="F999" s="10"/>
      <c r="G999" s="18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24"/>
      <c r="B1000" s="10"/>
      <c r="C1000" s="48"/>
      <c r="D1000" s="18"/>
      <c r="E1000" s="10"/>
      <c r="F1000" s="10"/>
      <c r="G1000" s="18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24"/>
      <c r="B1001" s="10"/>
      <c r="C1001" s="48"/>
      <c r="D1001" s="18"/>
      <c r="E1001" s="10"/>
      <c r="F1001" s="10"/>
      <c r="G1001" s="18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24"/>
      <c r="B1002" s="10"/>
      <c r="C1002" s="48"/>
      <c r="D1002" s="18"/>
      <c r="E1002" s="10"/>
      <c r="F1002" s="10"/>
      <c r="G1002" s="18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24"/>
      <c r="B1003" s="10"/>
      <c r="C1003" s="48"/>
      <c r="D1003" s="18"/>
      <c r="E1003" s="10"/>
      <c r="F1003" s="10"/>
      <c r="G1003" s="18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24"/>
      <c r="B1004" s="10"/>
      <c r="C1004" s="48"/>
      <c r="D1004" s="18"/>
      <c r="E1004" s="10"/>
      <c r="F1004" s="10"/>
      <c r="G1004" s="18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24"/>
      <c r="B1005" s="10"/>
      <c r="C1005" s="48"/>
      <c r="D1005" s="18"/>
      <c r="E1005" s="10"/>
      <c r="F1005" s="10"/>
      <c r="G1005" s="18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ht="15.75" customHeight="1">
      <c r="A1006" s="124"/>
      <c r="B1006" s="10"/>
      <c r="C1006" s="48"/>
      <c r="D1006" s="18"/>
      <c r="E1006" s="10"/>
      <c r="F1006" s="10"/>
      <c r="G1006" s="18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ht="15.75" customHeight="1">
      <c r="A1007" s="124"/>
      <c r="B1007" s="10"/>
      <c r="C1007" s="48"/>
      <c r="D1007" s="18"/>
      <c r="E1007" s="10"/>
      <c r="F1007" s="10"/>
      <c r="G1007" s="18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ht="15.75" customHeight="1">
      <c r="A1008" s="124"/>
      <c r="B1008" s="10"/>
      <c r="C1008" s="48"/>
      <c r="D1008" s="18"/>
      <c r="E1008" s="10"/>
      <c r="F1008" s="10"/>
      <c r="G1008" s="18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ht="15.75" customHeight="1">
      <c r="A1009" s="124"/>
      <c r="B1009" s="10"/>
      <c r="C1009" s="48"/>
      <c r="D1009" s="18"/>
      <c r="E1009" s="10"/>
      <c r="F1009" s="10"/>
      <c r="G1009" s="18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ht="15.75" customHeight="1">
      <c r="A1010" s="124"/>
      <c r="B1010" s="10"/>
      <c r="C1010" s="48"/>
      <c r="D1010" s="18"/>
      <c r="E1010" s="10"/>
      <c r="F1010" s="10"/>
      <c r="G1010" s="18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ht="15.75" customHeight="1">
      <c r="A1011" s="124"/>
      <c r="B1011" s="10"/>
      <c r="C1011" s="48"/>
      <c r="D1011" s="18"/>
      <c r="E1011" s="10"/>
      <c r="F1011" s="10"/>
      <c r="G1011" s="18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ht="15.75" customHeight="1">
      <c r="A1012" s="124"/>
      <c r="B1012" s="10"/>
      <c r="C1012" s="48"/>
      <c r="D1012" s="18"/>
      <c r="E1012" s="10"/>
      <c r="F1012" s="10"/>
      <c r="G1012" s="18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ht="15.75" customHeight="1">
      <c r="A1013" s="124"/>
      <c r="B1013" s="10"/>
      <c r="C1013" s="48"/>
      <c r="D1013" s="18"/>
      <c r="E1013" s="10"/>
      <c r="F1013" s="10"/>
      <c r="G1013" s="18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ht="15.75" customHeight="1">
      <c r="A1014" s="124"/>
      <c r="B1014" s="10"/>
      <c r="C1014" s="48"/>
      <c r="D1014" s="18"/>
      <c r="E1014" s="10"/>
      <c r="F1014" s="10"/>
      <c r="G1014" s="18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ht="15.75" customHeight="1">
      <c r="A1015" s="124"/>
      <c r="B1015" s="10"/>
      <c r="C1015" s="48"/>
      <c r="D1015" s="18"/>
      <c r="E1015" s="10"/>
      <c r="F1015" s="10"/>
      <c r="G1015" s="18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ht="15.75" customHeight="1">
      <c r="A1016" s="124"/>
      <c r="B1016" s="10"/>
      <c r="C1016" s="48"/>
      <c r="D1016" s="18"/>
      <c r="E1016" s="10"/>
      <c r="F1016" s="10"/>
      <c r="G1016" s="18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ht="15.75" customHeight="1">
      <c r="A1017" s="124"/>
      <c r="B1017" s="10"/>
      <c r="C1017" s="48"/>
      <c r="D1017" s="18"/>
      <c r="E1017" s="10"/>
      <c r="F1017" s="10"/>
      <c r="G1017" s="18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ht="15.75" customHeight="1">
      <c r="A1018" s="124"/>
      <c r="B1018" s="10"/>
      <c r="C1018" s="48"/>
      <c r="D1018" s="18"/>
      <c r="E1018" s="10"/>
      <c r="F1018" s="10"/>
      <c r="G1018" s="18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ht="15.75" customHeight="1">
      <c r="A1019" s="124"/>
      <c r="B1019" s="10"/>
      <c r="C1019" s="48"/>
      <c r="D1019" s="18"/>
      <c r="E1019" s="10"/>
      <c r="F1019" s="10"/>
      <c r="G1019" s="18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ht="15.75" customHeight="1">
      <c r="A1020" s="124"/>
      <c r="B1020" s="10"/>
      <c r="C1020" s="48"/>
      <c r="D1020" s="18"/>
      <c r="E1020" s="10"/>
      <c r="F1020" s="10"/>
      <c r="G1020" s="18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ht="15.75" customHeight="1">
      <c r="A1021" s="124"/>
      <c r="B1021" s="10"/>
      <c r="C1021" s="48"/>
      <c r="D1021" s="18"/>
      <c r="E1021" s="10"/>
      <c r="F1021" s="10"/>
      <c r="G1021" s="18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ht="15.75" customHeight="1">
      <c r="A1022" s="124"/>
      <c r="B1022" s="10"/>
      <c r="C1022" s="48"/>
      <c r="D1022" s="18"/>
      <c r="E1022" s="10"/>
      <c r="F1022" s="10"/>
      <c r="G1022" s="18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ht="15.75" customHeight="1">
      <c r="A1023" s="124"/>
      <c r="B1023" s="10"/>
      <c r="C1023" s="48"/>
      <c r="D1023" s="18"/>
      <c r="E1023" s="10"/>
      <c r="F1023" s="10"/>
      <c r="G1023" s="18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ht="15.75" customHeight="1">
      <c r="A1024" s="124"/>
      <c r="B1024" s="10"/>
      <c r="C1024" s="48"/>
      <c r="D1024" s="18"/>
      <c r="E1024" s="10"/>
      <c r="F1024" s="10"/>
      <c r="G1024" s="18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ht="15.75" customHeight="1">
      <c r="A1025" s="124"/>
      <c r="B1025" s="10"/>
      <c r="C1025" s="48"/>
      <c r="D1025" s="18"/>
      <c r="E1025" s="10"/>
      <c r="F1025" s="10"/>
      <c r="G1025" s="18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ht="15.75" customHeight="1">
      <c r="A1026" s="124"/>
      <c r="B1026" s="10"/>
      <c r="C1026" s="48"/>
      <c r="D1026" s="18"/>
      <c r="E1026" s="10"/>
      <c r="F1026" s="10"/>
      <c r="G1026" s="18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ht="15.75" customHeight="1">
      <c r="A1027" s="124"/>
      <c r="B1027" s="10"/>
      <c r="C1027" s="48"/>
      <c r="D1027" s="18"/>
      <c r="E1027" s="10"/>
      <c r="F1027" s="10"/>
      <c r="G1027" s="18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ht="15.75" customHeight="1">
      <c r="A1028" s="124"/>
      <c r="B1028" s="10"/>
      <c r="C1028" s="48"/>
      <c r="D1028" s="18"/>
      <c r="E1028" s="10"/>
      <c r="F1028" s="10"/>
      <c r="G1028" s="18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ht="15.75" customHeight="1">
      <c r="A1029" s="124"/>
      <c r="B1029" s="10"/>
      <c r="C1029" s="48"/>
      <c r="D1029" s="18"/>
      <c r="E1029" s="10"/>
      <c r="F1029" s="10"/>
      <c r="G1029" s="18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ht="15.75" customHeight="1">
      <c r="A1030" s="124"/>
      <c r="B1030" s="10"/>
      <c r="C1030" s="48"/>
      <c r="D1030" s="18"/>
      <c r="E1030" s="10"/>
      <c r="F1030" s="10"/>
      <c r="G1030" s="18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ht="15.75" customHeight="1">
      <c r="A1031" s="124"/>
      <c r="B1031" s="10"/>
      <c r="C1031" s="48"/>
      <c r="D1031" s="18"/>
      <c r="E1031" s="10"/>
      <c r="F1031" s="10"/>
      <c r="G1031" s="18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  <row r="1032" ht="15.75" customHeight="1">
      <c r="A1032" s="124"/>
      <c r="B1032" s="10"/>
      <c r="C1032" s="48"/>
      <c r="D1032" s="18"/>
      <c r="E1032" s="10"/>
      <c r="F1032" s="10"/>
      <c r="G1032" s="18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ht="15.75" customHeight="1">
      <c r="A1033" s="124"/>
      <c r="B1033" s="10"/>
      <c r="C1033" s="48"/>
      <c r="D1033" s="18"/>
      <c r="E1033" s="10"/>
      <c r="F1033" s="10"/>
      <c r="G1033" s="18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ht="15.75" customHeight="1">
      <c r="A1034" s="124"/>
      <c r="B1034" s="10"/>
      <c r="C1034" s="48"/>
      <c r="D1034" s="18"/>
      <c r="E1034" s="10"/>
      <c r="F1034" s="10"/>
      <c r="G1034" s="18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ht="15.75" customHeight="1">
      <c r="A1035" s="124"/>
      <c r="B1035" s="10"/>
      <c r="C1035" s="48"/>
      <c r="D1035" s="18"/>
      <c r="E1035" s="10"/>
      <c r="F1035" s="10"/>
      <c r="G1035" s="18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ht="15.75" customHeight="1">
      <c r="A1036" s="124"/>
      <c r="B1036" s="10"/>
      <c r="C1036" s="48"/>
      <c r="D1036" s="18"/>
      <c r="E1036" s="10"/>
      <c r="F1036" s="10"/>
      <c r="G1036" s="18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ht="15.75" customHeight="1">
      <c r="A1037" s="124"/>
      <c r="B1037" s="10"/>
      <c r="C1037" s="48"/>
      <c r="D1037" s="18"/>
      <c r="E1037" s="10"/>
      <c r="F1037" s="10"/>
      <c r="G1037" s="18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ht="15.75" customHeight="1">
      <c r="A1038" s="124"/>
      <c r="B1038" s="10"/>
      <c r="C1038" s="48"/>
      <c r="D1038" s="18"/>
      <c r="E1038" s="10"/>
      <c r="F1038" s="10"/>
      <c r="G1038" s="18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</row>
    <row r="1039" ht="15.75" customHeight="1">
      <c r="A1039" s="124"/>
      <c r="B1039" s="10"/>
      <c r="C1039" s="48"/>
      <c r="D1039" s="18"/>
      <c r="E1039" s="10"/>
      <c r="F1039" s="10"/>
      <c r="G1039" s="18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</row>
    <row r="1040" ht="15.75" customHeight="1">
      <c r="A1040" s="124"/>
      <c r="B1040" s="10"/>
      <c r="C1040" s="48"/>
      <c r="D1040" s="18"/>
      <c r="E1040" s="10"/>
      <c r="F1040" s="10"/>
      <c r="G1040" s="18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</row>
    <row r="1041" ht="15.75" customHeight="1">
      <c r="A1041" s="124"/>
      <c r="B1041" s="10"/>
      <c r="C1041" s="48"/>
      <c r="D1041" s="18"/>
      <c r="E1041" s="10"/>
      <c r="F1041" s="10"/>
      <c r="G1041" s="18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</row>
    <row r="1042" ht="15.75" customHeight="1">
      <c r="A1042" s="124"/>
      <c r="B1042" s="10"/>
      <c r="C1042" s="48"/>
      <c r="D1042" s="18"/>
      <c r="E1042" s="10"/>
      <c r="F1042" s="10"/>
      <c r="G1042" s="18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ht="15.75" customHeight="1">
      <c r="A1043" s="124"/>
      <c r="B1043" s="10"/>
      <c r="C1043" s="48"/>
      <c r="D1043" s="18"/>
      <c r="E1043" s="10"/>
      <c r="F1043" s="10"/>
      <c r="G1043" s="18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ht="15.75" customHeight="1">
      <c r="A1044" s="124"/>
      <c r="B1044" s="10"/>
      <c r="C1044" s="48"/>
      <c r="D1044" s="18"/>
      <c r="E1044" s="10"/>
      <c r="F1044" s="10"/>
      <c r="G1044" s="18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ht="15.75" customHeight="1">
      <c r="A1045" s="124"/>
      <c r="B1045" s="10"/>
      <c r="C1045" s="48"/>
      <c r="D1045" s="18"/>
      <c r="E1045" s="10"/>
      <c r="F1045" s="10"/>
      <c r="G1045" s="18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</row>
    <row r="1046" ht="15.75" customHeight="1">
      <c r="A1046" s="124"/>
      <c r="B1046" s="10"/>
      <c r="C1046" s="48"/>
      <c r="D1046" s="18"/>
      <c r="E1046" s="10"/>
      <c r="F1046" s="10"/>
      <c r="G1046" s="18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</row>
    <row r="1047" ht="15.75" customHeight="1">
      <c r="A1047" s="124"/>
      <c r="B1047" s="10"/>
      <c r="C1047" s="48"/>
      <c r="D1047" s="18"/>
      <c r="E1047" s="10"/>
      <c r="F1047" s="10"/>
      <c r="G1047" s="18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</row>
    <row r="1048" ht="15.75" customHeight="1">
      <c r="A1048" s="124"/>
      <c r="B1048" s="10"/>
      <c r="C1048" s="48"/>
      <c r="D1048" s="18"/>
      <c r="E1048" s="10"/>
      <c r="F1048" s="10"/>
      <c r="G1048" s="18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</row>
    <row r="1049" ht="15.75" customHeight="1">
      <c r="A1049" s="124"/>
      <c r="B1049" s="10"/>
      <c r="C1049" s="48"/>
      <c r="D1049" s="18"/>
      <c r="E1049" s="10"/>
      <c r="F1049" s="10"/>
      <c r="G1049" s="18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ht="15.75" customHeight="1">
      <c r="A1050" s="124"/>
      <c r="B1050" s="10"/>
      <c r="C1050" s="48"/>
      <c r="D1050" s="18"/>
      <c r="E1050" s="10"/>
      <c r="F1050" s="10"/>
      <c r="G1050" s="18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</row>
    <row r="1051" ht="15.75" customHeight="1">
      <c r="A1051" s="124"/>
      <c r="B1051" s="10"/>
      <c r="C1051" s="48"/>
      <c r="D1051" s="18"/>
      <c r="E1051" s="10"/>
      <c r="F1051" s="10"/>
      <c r="G1051" s="18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</row>
    <row r="1052" ht="15.75" customHeight="1">
      <c r="A1052" s="124"/>
      <c r="B1052" s="10"/>
      <c r="C1052" s="48"/>
      <c r="D1052" s="18"/>
      <c r="E1052" s="10"/>
      <c r="F1052" s="10"/>
      <c r="G1052" s="18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</row>
    <row r="1053" ht="15.75" customHeight="1">
      <c r="A1053" s="124"/>
      <c r="B1053" s="10"/>
      <c r="C1053" s="48"/>
      <c r="D1053" s="18"/>
      <c r="E1053" s="10"/>
      <c r="F1053" s="10"/>
      <c r="G1053" s="18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</row>
    <row r="1054" ht="15.75" customHeight="1">
      <c r="A1054" s="124"/>
      <c r="B1054" s="10"/>
      <c r="C1054" s="48"/>
      <c r="D1054" s="18"/>
      <c r="E1054" s="10"/>
      <c r="F1054" s="10"/>
      <c r="G1054" s="18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</row>
    <row r="1055" ht="15.75" customHeight="1">
      <c r="A1055" s="124"/>
      <c r="B1055" s="10"/>
      <c r="C1055" s="48"/>
      <c r="D1055" s="18"/>
      <c r="E1055" s="10"/>
      <c r="F1055" s="10"/>
      <c r="G1055" s="18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</row>
    <row r="1056" ht="15.75" customHeight="1">
      <c r="A1056" s="124"/>
      <c r="B1056" s="10"/>
      <c r="C1056" s="48"/>
      <c r="D1056" s="18"/>
      <c r="E1056" s="10"/>
      <c r="F1056" s="10"/>
      <c r="G1056" s="18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</row>
    <row r="1057" ht="15.75" customHeight="1">
      <c r="A1057" s="124"/>
      <c r="B1057" s="10"/>
      <c r="C1057" s="48"/>
      <c r="D1057" s="18"/>
      <c r="E1057" s="10"/>
      <c r="F1057" s="10"/>
      <c r="G1057" s="18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</row>
    <row r="1058" ht="15.75" customHeight="1">
      <c r="A1058" s="124"/>
      <c r="B1058" s="10"/>
      <c r="C1058" s="48"/>
      <c r="D1058" s="18"/>
      <c r="E1058" s="10"/>
      <c r="F1058" s="10"/>
      <c r="G1058" s="18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</row>
    <row r="1059" ht="15.75" customHeight="1">
      <c r="A1059" s="124"/>
      <c r="B1059" s="10"/>
      <c r="C1059" s="48"/>
      <c r="D1059" s="18"/>
      <c r="E1059" s="10"/>
      <c r="F1059" s="10"/>
      <c r="G1059" s="18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</row>
    <row r="1060" ht="15.75" customHeight="1">
      <c r="A1060" s="124"/>
      <c r="B1060" s="10"/>
      <c r="C1060" s="48"/>
      <c r="D1060" s="18"/>
      <c r="E1060" s="10"/>
      <c r="F1060" s="10"/>
      <c r="G1060" s="18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</row>
    <row r="1061" ht="15.75" customHeight="1">
      <c r="A1061" s="124"/>
      <c r="B1061" s="10"/>
      <c r="C1061" s="48"/>
      <c r="D1061" s="18"/>
      <c r="E1061" s="10"/>
      <c r="F1061" s="10"/>
      <c r="G1061" s="18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</row>
    <row r="1062" ht="15.75" customHeight="1">
      <c r="A1062" s="124"/>
      <c r="B1062" s="10"/>
      <c r="C1062" s="48"/>
      <c r="D1062" s="18"/>
      <c r="E1062" s="10"/>
      <c r="F1062" s="10"/>
      <c r="G1062" s="18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</row>
  </sheetData>
  <mergeCells count="10">
    <mergeCell ref="A596:H596"/>
    <mergeCell ref="A617:H617"/>
    <mergeCell ref="A675:H675"/>
    <mergeCell ref="A26:H26"/>
    <mergeCell ref="A27:H27"/>
    <mergeCell ref="A140:H140"/>
    <mergeCell ref="A201:H201"/>
    <mergeCell ref="A268:H268"/>
    <mergeCell ref="A287:H287"/>
    <mergeCell ref="A310:H310"/>
  </mergeCells>
  <conditionalFormatting sqref="D1:D25 D28:D139">
    <cfRule type="cellIs" dxfId="0" priority="1" operator="equal">
      <formula>0</formula>
    </cfRule>
  </conditionalFormatting>
  <conditionalFormatting sqref="D1:D25 D28:D139">
    <cfRule type="cellIs" dxfId="1" priority="2" operator="between">
      <formula>1</formula>
      <formula>5</formula>
    </cfRule>
  </conditionalFormatting>
  <conditionalFormatting sqref="D1:D25 D28:D139">
    <cfRule type="cellIs" dxfId="2" priority="3" operator="between">
      <formula>6</formula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2.57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11" t="s">
        <v>9</v>
      </c>
      <c r="B2" s="13" t="s">
        <v>11</v>
      </c>
      <c r="C2" s="15" t="s">
        <v>13</v>
      </c>
      <c r="D2" s="15" t="s">
        <v>15</v>
      </c>
      <c r="E2" s="15" t="s">
        <v>16</v>
      </c>
      <c r="F2" s="15" t="s">
        <v>17</v>
      </c>
      <c r="G2" s="15" t="s">
        <v>18</v>
      </c>
      <c r="H2" s="15" t="s">
        <v>19</v>
      </c>
      <c r="I2" s="15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7" t="s">
        <v>20</v>
      </c>
      <c r="B3" s="19">
        <v>0.0</v>
      </c>
      <c r="C3" s="21">
        <v>2.0</v>
      </c>
      <c r="D3" s="22">
        <v>0.0</v>
      </c>
      <c r="E3" s="24">
        <f t="shared" ref="E3:E33" si="1">+B3-D3</f>
        <v>0</v>
      </c>
      <c r="F3" s="25">
        <v>0.4</v>
      </c>
      <c r="G3" s="26">
        <f t="shared" ref="G3:G33" si="2">C3+(C3*F3)</f>
        <v>2.8</v>
      </c>
      <c r="H3" s="27">
        <v>10.0</v>
      </c>
      <c r="I3" s="28">
        <f t="shared" ref="I3:I33" si="3">+E3*H3</f>
        <v>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17" t="s">
        <v>27</v>
      </c>
      <c r="B4" s="19">
        <v>0.0</v>
      </c>
      <c r="C4" s="21">
        <v>2.0</v>
      </c>
      <c r="D4" s="22">
        <v>0.0</v>
      </c>
      <c r="E4" s="24">
        <f t="shared" si="1"/>
        <v>0</v>
      </c>
      <c r="F4" s="25">
        <v>0.4</v>
      </c>
      <c r="G4" s="26">
        <f t="shared" si="2"/>
        <v>2.8</v>
      </c>
      <c r="H4" s="27">
        <v>10.0</v>
      </c>
      <c r="I4" s="28">
        <f t="shared" si="3"/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31" t="s">
        <v>31</v>
      </c>
      <c r="B5" s="19">
        <v>4.0</v>
      </c>
      <c r="C5" s="21">
        <v>2.27</v>
      </c>
      <c r="D5" s="22">
        <v>0.0</v>
      </c>
      <c r="E5" s="24">
        <f t="shared" si="1"/>
        <v>4</v>
      </c>
      <c r="F5" s="25">
        <v>0.4</v>
      </c>
      <c r="G5" s="26">
        <f t="shared" si="2"/>
        <v>3.178</v>
      </c>
      <c r="H5" s="27">
        <v>10.0</v>
      </c>
      <c r="I5" s="32">
        <f t="shared" si="3"/>
        <v>40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31" t="s">
        <v>33</v>
      </c>
      <c r="B6" s="19">
        <v>2.0</v>
      </c>
      <c r="C6" s="21">
        <v>2.31</v>
      </c>
      <c r="D6" s="22">
        <v>0.0</v>
      </c>
      <c r="E6" s="24">
        <f t="shared" si="1"/>
        <v>2</v>
      </c>
      <c r="F6" s="25">
        <v>0.4</v>
      </c>
      <c r="G6" s="26">
        <f t="shared" si="2"/>
        <v>3.234</v>
      </c>
      <c r="H6" s="27">
        <v>10.0</v>
      </c>
      <c r="I6" s="32">
        <f t="shared" si="3"/>
        <v>20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31" t="s">
        <v>38</v>
      </c>
      <c r="B7" s="19">
        <v>3.0</v>
      </c>
      <c r="C7" s="21">
        <v>2.31</v>
      </c>
      <c r="D7" s="22">
        <v>0.0</v>
      </c>
      <c r="E7" s="24">
        <f t="shared" si="1"/>
        <v>3</v>
      </c>
      <c r="F7" s="25">
        <v>0.4</v>
      </c>
      <c r="G7" s="26">
        <f t="shared" si="2"/>
        <v>3.234</v>
      </c>
      <c r="H7" s="27">
        <v>10.0</v>
      </c>
      <c r="I7" s="32">
        <f t="shared" si="3"/>
        <v>30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31" t="s">
        <v>45</v>
      </c>
      <c r="B8" s="19">
        <v>2.0</v>
      </c>
      <c r="C8" s="21">
        <v>2.47</v>
      </c>
      <c r="D8" s="22">
        <v>0.0</v>
      </c>
      <c r="E8" s="24">
        <f t="shared" si="1"/>
        <v>2</v>
      </c>
      <c r="F8" s="25">
        <v>0.4</v>
      </c>
      <c r="G8" s="26">
        <f t="shared" si="2"/>
        <v>3.458</v>
      </c>
      <c r="H8" s="27">
        <v>10.0</v>
      </c>
      <c r="I8" s="32">
        <f t="shared" si="3"/>
        <v>20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31" t="s">
        <v>50</v>
      </c>
      <c r="B9" s="19">
        <v>4.0</v>
      </c>
      <c r="C9" s="21">
        <v>2.0</v>
      </c>
      <c r="D9" s="22">
        <v>0.0</v>
      </c>
      <c r="E9" s="24">
        <f t="shared" si="1"/>
        <v>4</v>
      </c>
      <c r="F9" s="25">
        <v>0.4</v>
      </c>
      <c r="G9" s="26">
        <f t="shared" si="2"/>
        <v>2.8</v>
      </c>
      <c r="H9" s="27">
        <v>10.0</v>
      </c>
      <c r="I9" s="32">
        <f t="shared" si="3"/>
        <v>40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36" t="s">
        <v>53</v>
      </c>
      <c r="B10" s="19">
        <v>6.0</v>
      </c>
      <c r="C10" s="21">
        <v>2.9</v>
      </c>
      <c r="D10" s="22">
        <v>0.0</v>
      </c>
      <c r="E10" s="24">
        <f t="shared" si="1"/>
        <v>6</v>
      </c>
      <c r="F10" s="25">
        <v>0.4</v>
      </c>
      <c r="G10" s="26">
        <f t="shared" si="2"/>
        <v>4.06</v>
      </c>
      <c r="H10" s="27">
        <v>10.0</v>
      </c>
      <c r="I10" s="32">
        <f t="shared" si="3"/>
        <v>60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36" t="s">
        <v>58</v>
      </c>
      <c r="B11" s="19">
        <v>7.0</v>
      </c>
      <c r="C11" s="21">
        <v>2.9</v>
      </c>
      <c r="D11" s="22">
        <v>0.0</v>
      </c>
      <c r="E11" s="24">
        <f t="shared" si="1"/>
        <v>7</v>
      </c>
      <c r="F11" s="25">
        <v>0.4</v>
      </c>
      <c r="G11" s="26">
        <f t="shared" si="2"/>
        <v>4.06</v>
      </c>
      <c r="H11" s="27">
        <v>10.0</v>
      </c>
      <c r="I11" s="32">
        <f t="shared" si="3"/>
        <v>70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36" t="s">
        <v>63</v>
      </c>
      <c r="B12" s="19">
        <v>7.0</v>
      </c>
      <c r="C12" s="21">
        <v>2.99</v>
      </c>
      <c r="D12" s="22">
        <v>0.0</v>
      </c>
      <c r="E12" s="24">
        <f t="shared" si="1"/>
        <v>7</v>
      </c>
      <c r="F12" s="25">
        <v>0.4</v>
      </c>
      <c r="G12" s="26">
        <f t="shared" si="2"/>
        <v>4.186</v>
      </c>
      <c r="H12" s="27">
        <v>10.0</v>
      </c>
      <c r="I12" s="32">
        <f t="shared" si="3"/>
        <v>70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36" t="s">
        <v>73</v>
      </c>
      <c r="B13" s="19">
        <v>5.0</v>
      </c>
      <c r="C13" s="21">
        <v>3.04</v>
      </c>
      <c r="D13" s="22">
        <v>0.0</v>
      </c>
      <c r="E13" s="24">
        <f t="shared" si="1"/>
        <v>5</v>
      </c>
      <c r="F13" s="25">
        <v>0.4</v>
      </c>
      <c r="G13" s="26">
        <f t="shared" si="2"/>
        <v>4.256</v>
      </c>
      <c r="H13" s="27">
        <v>10.0</v>
      </c>
      <c r="I13" s="32">
        <f t="shared" si="3"/>
        <v>50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36" t="s">
        <v>79</v>
      </c>
      <c r="B14" s="19">
        <v>5.0</v>
      </c>
      <c r="C14" s="21">
        <v>3.11</v>
      </c>
      <c r="D14" s="22">
        <v>0.0</v>
      </c>
      <c r="E14" s="24">
        <f t="shared" si="1"/>
        <v>5</v>
      </c>
      <c r="F14" s="25">
        <v>0.4</v>
      </c>
      <c r="G14" s="26">
        <f t="shared" si="2"/>
        <v>4.354</v>
      </c>
      <c r="H14" s="27">
        <v>10.0</v>
      </c>
      <c r="I14" s="32">
        <f t="shared" si="3"/>
        <v>50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36" t="s">
        <v>82</v>
      </c>
      <c r="B15" s="19">
        <v>2.0</v>
      </c>
      <c r="C15" s="21">
        <v>3.18</v>
      </c>
      <c r="D15" s="22">
        <v>0.0</v>
      </c>
      <c r="E15" s="24">
        <f t="shared" si="1"/>
        <v>2</v>
      </c>
      <c r="F15" s="25">
        <v>0.4</v>
      </c>
      <c r="G15" s="26">
        <f t="shared" si="2"/>
        <v>4.452</v>
      </c>
      <c r="H15" s="27">
        <v>10.0</v>
      </c>
      <c r="I15" s="32">
        <f t="shared" si="3"/>
        <v>20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17" t="s">
        <v>89</v>
      </c>
      <c r="B16" s="19">
        <v>0.0</v>
      </c>
      <c r="C16" s="21">
        <v>3.24</v>
      </c>
      <c r="D16" s="22">
        <v>0.0</v>
      </c>
      <c r="E16" s="24">
        <f t="shared" si="1"/>
        <v>0</v>
      </c>
      <c r="F16" s="25">
        <v>0.4</v>
      </c>
      <c r="G16" s="26">
        <f t="shared" si="2"/>
        <v>4.536</v>
      </c>
      <c r="H16" s="27">
        <v>10.0</v>
      </c>
      <c r="I16" s="28">
        <f t="shared" si="3"/>
        <v>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7" t="s">
        <v>96</v>
      </c>
      <c r="B17" s="19">
        <v>0.0</v>
      </c>
      <c r="C17" s="21">
        <v>3.39</v>
      </c>
      <c r="D17" s="22">
        <v>0.0</v>
      </c>
      <c r="E17" s="24">
        <f t="shared" si="1"/>
        <v>0</v>
      </c>
      <c r="F17" s="25">
        <v>0.4</v>
      </c>
      <c r="G17" s="26">
        <f t="shared" si="2"/>
        <v>4.746</v>
      </c>
      <c r="H17" s="27">
        <v>10.0</v>
      </c>
      <c r="I17" s="28">
        <f t="shared" si="3"/>
        <v>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7" t="s">
        <v>98</v>
      </c>
      <c r="B18" s="19">
        <v>0.0</v>
      </c>
      <c r="C18" s="21">
        <v>3.45</v>
      </c>
      <c r="D18" s="22">
        <v>0.0</v>
      </c>
      <c r="E18" s="24">
        <f t="shared" si="1"/>
        <v>0</v>
      </c>
      <c r="F18" s="25">
        <v>0.4</v>
      </c>
      <c r="G18" s="26">
        <f t="shared" si="2"/>
        <v>4.83</v>
      </c>
      <c r="H18" s="27">
        <v>10.0</v>
      </c>
      <c r="I18" s="28">
        <f t="shared" si="3"/>
        <v>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36" t="s">
        <v>101</v>
      </c>
      <c r="B19" s="19">
        <v>4.0</v>
      </c>
      <c r="C19" s="21">
        <v>3.61</v>
      </c>
      <c r="D19" s="22">
        <v>0.0</v>
      </c>
      <c r="E19" s="24">
        <f t="shared" si="1"/>
        <v>4</v>
      </c>
      <c r="F19" s="25">
        <v>0.4</v>
      </c>
      <c r="G19" s="26">
        <f t="shared" si="2"/>
        <v>5.054</v>
      </c>
      <c r="H19" s="27">
        <v>10.0</v>
      </c>
      <c r="I19" s="32">
        <f t="shared" si="3"/>
        <v>40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36" t="s">
        <v>107</v>
      </c>
      <c r="B20" s="19">
        <v>1.0</v>
      </c>
      <c r="C20" s="21">
        <v>3.7</v>
      </c>
      <c r="D20" s="22">
        <v>0.0</v>
      </c>
      <c r="E20" s="24">
        <f t="shared" si="1"/>
        <v>1</v>
      </c>
      <c r="F20" s="25">
        <v>0.4</v>
      </c>
      <c r="G20" s="26">
        <f t="shared" si="2"/>
        <v>5.18</v>
      </c>
      <c r="H20" s="27">
        <v>10.0</v>
      </c>
      <c r="I20" s="32">
        <f t="shared" si="3"/>
        <v>10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>
      <c r="A21" s="36" t="s">
        <v>110</v>
      </c>
      <c r="B21" s="19">
        <v>4.0</v>
      </c>
      <c r="C21" s="21">
        <v>3.9</v>
      </c>
      <c r="D21" s="22">
        <v>0.0</v>
      </c>
      <c r="E21" s="24">
        <f t="shared" si="1"/>
        <v>4</v>
      </c>
      <c r="F21" s="25">
        <v>0.4</v>
      </c>
      <c r="G21" s="26">
        <f t="shared" si="2"/>
        <v>5.46</v>
      </c>
      <c r="H21" s="27">
        <v>10.0</v>
      </c>
      <c r="I21" s="32">
        <f t="shared" si="3"/>
        <v>40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>
      <c r="A22" s="36" t="s">
        <v>115</v>
      </c>
      <c r="B22" s="19">
        <v>4.0</v>
      </c>
      <c r="C22" s="21">
        <v>4.08</v>
      </c>
      <c r="D22" s="22">
        <v>0.0</v>
      </c>
      <c r="E22" s="24">
        <f t="shared" si="1"/>
        <v>4</v>
      </c>
      <c r="F22" s="25">
        <v>0.4</v>
      </c>
      <c r="G22" s="26">
        <f t="shared" si="2"/>
        <v>5.712</v>
      </c>
      <c r="H22" s="27">
        <v>10.0</v>
      </c>
      <c r="I22" s="32">
        <f t="shared" si="3"/>
        <v>40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>
      <c r="A23" s="17" t="s">
        <v>117</v>
      </c>
      <c r="B23" s="19">
        <v>0.0</v>
      </c>
      <c r="C23" s="21">
        <v>4.08</v>
      </c>
      <c r="D23" s="22">
        <v>0.0</v>
      </c>
      <c r="E23" s="24">
        <f t="shared" si="1"/>
        <v>0</v>
      </c>
      <c r="F23" s="25">
        <v>0.4</v>
      </c>
      <c r="G23" s="26">
        <f t="shared" si="2"/>
        <v>5.712</v>
      </c>
      <c r="H23" s="27">
        <v>10.0</v>
      </c>
      <c r="I23" s="28">
        <f t="shared" si="3"/>
        <v>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>
      <c r="A24" s="31" t="s">
        <v>120</v>
      </c>
      <c r="B24" s="19">
        <v>6.0</v>
      </c>
      <c r="C24" s="21">
        <v>3.45</v>
      </c>
      <c r="D24" s="22">
        <v>0.0</v>
      </c>
      <c r="E24" s="24">
        <f t="shared" si="1"/>
        <v>6</v>
      </c>
      <c r="F24" s="25">
        <v>0.4</v>
      </c>
      <c r="G24" s="26">
        <f t="shared" si="2"/>
        <v>4.83</v>
      </c>
      <c r="H24" s="27">
        <v>11.0</v>
      </c>
      <c r="I24" s="32">
        <f t="shared" si="3"/>
        <v>66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>
      <c r="A25" s="31" t="s">
        <v>124</v>
      </c>
      <c r="B25" s="19">
        <v>6.0</v>
      </c>
      <c r="C25" s="21">
        <v>3.52</v>
      </c>
      <c r="D25" s="22">
        <v>0.0</v>
      </c>
      <c r="E25" s="24">
        <f t="shared" si="1"/>
        <v>6</v>
      </c>
      <c r="F25" s="25">
        <v>0.4</v>
      </c>
      <c r="G25" s="26">
        <f t="shared" si="2"/>
        <v>4.928</v>
      </c>
      <c r="H25" s="27">
        <v>11.0</v>
      </c>
      <c r="I25" s="32">
        <f t="shared" si="3"/>
        <v>66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>
      <c r="A26" s="31" t="s">
        <v>132</v>
      </c>
      <c r="B26" s="19">
        <v>6.0</v>
      </c>
      <c r="C26" s="21">
        <v>3.58</v>
      </c>
      <c r="D26" s="22">
        <v>0.0</v>
      </c>
      <c r="E26" s="24">
        <f t="shared" si="1"/>
        <v>6</v>
      </c>
      <c r="F26" s="25">
        <v>0.4</v>
      </c>
      <c r="G26" s="26">
        <f t="shared" si="2"/>
        <v>5.012</v>
      </c>
      <c r="H26" s="27">
        <v>11.0</v>
      </c>
      <c r="I26" s="32">
        <f t="shared" si="3"/>
        <v>66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>
      <c r="A27" s="31" t="s">
        <v>135</v>
      </c>
      <c r="B27" s="19">
        <v>6.0</v>
      </c>
      <c r="C27" s="21">
        <v>3.61</v>
      </c>
      <c r="D27" s="22">
        <v>0.0</v>
      </c>
      <c r="E27" s="24">
        <f t="shared" si="1"/>
        <v>6</v>
      </c>
      <c r="F27" s="25">
        <v>0.4</v>
      </c>
      <c r="G27" s="26">
        <f t="shared" si="2"/>
        <v>5.054</v>
      </c>
      <c r="H27" s="27">
        <v>11.0</v>
      </c>
      <c r="I27" s="32">
        <f t="shared" si="3"/>
        <v>66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>
      <c r="A28" s="31" t="s">
        <v>139</v>
      </c>
      <c r="B28" s="19">
        <v>6.0</v>
      </c>
      <c r="C28" s="21">
        <v>3.63</v>
      </c>
      <c r="D28" s="22">
        <v>0.0</v>
      </c>
      <c r="E28" s="24">
        <f t="shared" si="1"/>
        <v>6</v>
      </c>
      <c r="F28" s="25">
        <v>0.4</v>
      </c>
      <c r="G28" s="26">
        <f t="shared" si="2"/>
        <v>5.082</v>
      </c>
      <c r="H28" s="27">
        <v>11.0</v>
      </c>
      <c r="I28" s="32">
        <f t="shared" si="3"/>
        <v>66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>
      <c r="A29" s="31" t="s">
        <v>143</v>
      </c>
      <c r="B29" s="19">
        <v>6.0</v>
      </c>
      <c r="C29" s="21">
        <v>3.81</v>
      </c>
      <c r="D29" s="22">
        <v>0.0</v>
      </c>
      <c r="E29" s="24">
        <f t="shared" si="1"/>
        <v>6</v>
      </c>
      <c r="F29" s="25">
        <v>0.4</v>
      </c>
      <c r="G29" s="26">
        <f t="shared" si="2"/>
        <v>5.334</v>
      </c>
      <c r="H29" s="27">
        <v>11.0</v>
      </c>
      <c r="I29" s="32">
        <f t="shared" si="3"/>
        <v>66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>
      <c r="A30" s="31" t="s">
        <v>145</v>
      </c>
      <c r="B30" s="19">
        <v>6.0</v>
      </c>
      <c r="C30" s="21">
        <v>3.86</v>
      </c>
      <c r="D30" s="22">
        <v>0.0</v>
      </c>
      <c r="E30" s="24">
        <f t="shared" si="1"/>
        <v>6</v>
      </c>
      <c r="F30" s="25">
        <v>0.4</v>
      </c>
      <c r="G30" s="26">
        <f t="shared" si="2"/>
        <v>5.404</v>
      </c>
      <c r="H30" s="27">
        <v>11.0</v>
      </c>
      <c r="I30" s="32">
        <f t="shared" si="3"/>
        <v>66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>
      <c r="A31" s="31" t="s">
        <v>148</v>
      </c>
      <c r="B31" s="19">
        <v>6.0</v>
      </c>
      <c r="C31" s="21">
        <v>3.86</v>
      </c>
      <c r="D31" s="22">
        <v>0.0</v>
      </c>
      <c r="E31" s="24">
        <f t="shared" si="1"/>
        <v>6</v>
      </c>
      <c r="F31" s="25">
        <v>0.4</v>
      </c>
      <c r="G31" s="26">
        <f t="shared" si="2"/>
        <v>5.404</v>
      </c>
      <c r="H31" s="27">
        <v>11.0</v>
      </c>
      <c r="I31" s="32">
        <f t="shared" si="3"/>
        <v>66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>
      <c r="A32" s="31" t="s">
        <v>152</v>
      </c>
      <c r="B32" s="19">
        <v>6.0</v>
      </c>
      <c r="C32" s="21">
        <v>4.26</v>
      </c>
      <c r="D32" s="22">
        <v>0.0</v>
      </c>
      <c r="E32" s="24">
        <f t="shared" si="1"/>
        <v>6</v>
      </c>
      <c r="F32" s="25">
        <v>0.4</v>
      </c>
      <c r="G32" s="26">
        <f t="shared" si="2"/>
        <v>5.964</v>
      </c>
      <c r="H32" s="27">
        <v>11.0</v>
      </c>
      <c r="I32" s="32">
        <f t="shared" si="3"/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>
      <c r="A33" s="31" t="s">
        <v>156</v>
      </c>
      <c r="B33" s="19">
        <v>1.0</v>
      </c>
      <c r="C33" s="21">
        <v>4.31</v>
      </c>
      <c r="D33" s="22">
        <v>0.0</v>
      </c>
      <c r="E33" s="24">
        <f t="shared" si="1"/>
        <v>1</v>
      </c>
      <c r="F33" s="25">
        <v>0.4</v>
      </c>
      <c r="G33" s="26">
        <f t="shared" si="2"/>
        <v>6.034</v>
      </c>
      <c r="H33" s="27">
        <v>11.0</v>
      </c>
      <c r="I33" s="32">
        <f t="shared" si="3"/>
        <v>11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>
      <c r="A34" s="46"/>
      <c r="B34" s="19">
        <f>SUM(B3:B33)</f>
        <v>115</v>
      </c>
      <c r="C34" s="47"/>
      <c r="D34" s="47"/>
      <c r="E34" s="47"/>
      <c r="F34" s="47"/>
      <c r="G34" s="47"/>
      <c r="H34" s="49" t="s">
        <v>16</v>
      </c>
      <c r="I34" s="50">
        <f>SUM(I3:I33)</f>
        <v>1205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>
      <c r="A35" s="46"/>
      <c r="B35" s="47"/>
      <c r="C35" s="47"/>
      <c r="D35" s="47"/>
      <c r="E35" s="47"/>
      <c r="F35" s="47"/>
      <c r="G35" s="47"/>
      <c r="H35" s="47"/>
      <c r="I35" s="51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>
      <c r="A36" s="2" t="s">
        <v>170</v>
      </c>
      <c r="B36" s="4"/>
      <c r="C36" s="4"/>
      <c r="D36" s="4"/>
      <c r="E36" s="4"/>
      <c r="F36" s="4"/>
      <c r="G36" s="4"/>
      <c r="H36" s="4"/>
      <c r="I36" s="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>
      <c r="A37" s="53" t="s">
        <v>9</v>
      </c>
      <c r="B37" s="54" t="s">
        <v>11</v>
      </c>
      <c r="C37" s="55" t="s">
        <v>13</v>
      </c>
      <c r="D37" s="55" t="s">
        <v>15</v>
      </c>
      <c r="E37" s="55" t="s">
        <v>16</v>
      </c>
      <c r="F37" s="55" t="s">
        <v>17</v>
      </c>
      <c r="G37" s="55" t="s">
        <v>18</v>
      </c>
      <c r="H37" s="55" t="s">
        <v>19</v>
      </c>
      <c r="I37" s="55" t="s">
        <v>16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>
      <c r="A38" s="56" t="s">
        <v>176</v>
      </c>
      <c r="B38" s="19">
        <v>4.0</v>
      </c>
      <c r="C38" s="57">
        <v>8.28</v>
      </c>
      <c r="D38" s="58">
        <v>0.0</v>
      </c>
      <c r="E38" s="59">
        <f t="shared" ref="E38:E59" si="4">+B38-D38</f>
        <v>4</v>
      </c>
      <c r="F38" s="60">
        <v>0.4</v>
      </c>
      <c r="G38" s="61">
        <f t="shared" ref="G38:G73" si="5">C38+(C38*F38)</f>
        <v>11.592</v>
      </c>
      <c r="H38" s="62">
        <v>12.0</v>
      </c>
      <c r="I38" s="63">
        <f t="shared" ref="I38:I73" si="6">+E38*H38</f>
        <v>48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>
      <c r="A39" s="56" t="s">
        <v>184</v>
      </c>
      <c r="B39" s="19">
        <v>7.0</v>
      </c>
      <c r="C39" s="64">
        <v>6.33</v>
      </c>
      <c r="D39" s="58">
        <v>0.0</v>
      </c>
      <c r="E39" s="59">
        <f t="shared" si="4"/>
        <v>7</v>
      </c>
      <c r="F39" s="60">
        <v>0.4</v>
      </c>
      <c r="G39" s="61">
        <f t="shared" si="5"/>
        <v>8.862</v>
      </c>
      <c r="H39" s="62">
        <v>10.0</v>
      </c>
      <c r="I39" s="63">
        <f t="shared" si="6"/>
        <v>70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>
      <c r="A40" s="56" t="s">
        <v>189</v>
      </c>
      <c r="B40" s="19">
        <v>2.0</v>
      </c>
      <c r="C40" s="57">
        <v>6.64</v>
      </c>
      <c r="D40" s="58">
        <v>0.0</v>
      </c>
      <c r="E40" s="59">
        <f t="shared" si="4"/>
        <v>2</v>
      </c>
      <c r="F40" s="60">
        <v>0.4</v>
      </c>
      <c r="G40" s="61">
        <f t="shared" si="5"/>
        <v>9.296</v>
      </c>
      <c r="H40" s="62">
        <v>10.0</v>
      </c>
      <c r="I40" s="63">
        <f t="shared" si="6"/>
        <v>20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>
      <c r="A41" s="56" t="s">
        <v>194</v>
      </c>
      <c r="B41" s="19">
        <v>2.0</v>
      </c>
      <c r="C41" s="64">
        <v>3.15</v>
      </c>
      <c r="D41" s="58">
        <v>0.0</v>
      </c>
      <c r="E41" s="59">
        <f t="shared" si="4"/>
        <v>2</v>
      </c>
      <c r="F41" s="60">
        <v>0.4</v>
      </c>
      <c r="G41" s="61">
        <f t="shared" si="5"/>
        <v>4.41</v>
      </c>
      <c r="H41" s="62">
        <v>13.0</v>
      </c>
      <c r="I41" s="63">
        <f t="shared" si="6"/>
        <v>26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>
      <c r="A42" s="56" t="s">
        <v>199</v>
      </c>
      <c r="B42" s="19">
        <v>1.0</v>
      </c>
      <c r="C42" s="64">
        <v>3.15</v>
      </c>
      <c r="D42" s="58">
        <v>0.0</v>
      </c>
      <c r="E42" s="59">
        <f t="shared" si="4"/>
        <v>1</v>
      </c>
      <c r="F42" s="60">
        <v>0.4</v>
      </c>
      <c r="G42" s="61">
        <f t="shared" si="5"/>
        <v>4.41</v>
      </c>
      <c r="H42" s="62">
        <v>13.0</v>
      </c>
      <c r="I42" s="63">
        <f t="shared" si="6"/>
        <v>13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>
      <c r="A43" s="56" t="s">
        <v>204</v>
      </c>
      <c r="B43" s="19">
        <v>2.0</v>
      </c>
      <c r="C43" s="64">
        <v>4.05</v>
      </c>
      <c r="D43" s="58">
        <v>0.0</v>
      </c>
      <c r="E43" s="59">
        <f t="shared" si="4"/>
        <v>2</v>
      </c>
      <c r="F43" s="60">
        <v>0.4</v>
      </c>
      <c r="G43" s="61">
        <f t="shared" si="5"/>
        <v>5.67</v>
      </c>
      <c r="H43" s="62">
        <v>9.0</v>
      </c>
      <c r="I43" s="63">
        <f t="shared" si="6"/>
        <v>18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>
      <c r="A44" s="56" t="s">
        <v>208</v>
      </c>
      <c r="B44" s="19">
        <v>1.0</v>
      </c>
      <c r="C44" s="64">
        <v>4.05</v>
      </c>
      <c r="D44" s="58">
        <v>0.0</v>
      </c>
      <c r="E44" s="59">
        <f t="shared" si="4"/>
        <v>1</v>
      </c>
      <c r="F44" s="60">
        <v>0.4</v>
      </c>
      <c r="G44" s="61">
        <f t="shared" si="5"/>
        <v>5.67</v>
      </c>
      <c r="H44" s="62">
        <v>9.0</v>
      </c>
      <c r="I44" s="63">
        <f t="shared" si="6"/>
        <v>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>
      <c r="A45" s="56" t="s">
        <v>212</v>
      </c>
      <c r="B45" s="19">
        <v>1.0</v>
      </c>
      <c r="C45" s="64">
        <v>4.05</v>
      </c>
      <c r="D45" s="58">
        <v>0.0</v>
      </c>
      <c r="E45" s="59">
        <f t="shared" si="4"/>
        <v>1</v>
      </c>
      <c r="F45" s="60">
        <v>0.4</v>
      </c>
      <c r="G45" s="61">
        <f t="shared" si="5"/>
        <v>5.67</v>
      </c>
      <c r="H45" s="62">
        <v>9.0</v>
      </c>
      <c r="I45" s="63">
        <f t="shared" si="6"/>
        <v>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>
      <c r="A46" s="56" t="s">
        <v>215</v>
      </c>
      <c r="B46" s="19">
        <v>4.0</v>
      </c>
      <c r="C46" s="57">
        <v>5.95</v>
      </c>
      <c r="D46" s="58">
        <v>0.0</v>
      </c>
      <c r="E46" s="59">
        <f t="shared" si="4"/>
        <v>4</v>
      </c>
      <c r="F46" s="60">
        <v>0.4</v>
      </c>
      <c r="G46" s="61">
        <f t="shared" si="5"/>
        <v>8.33</v>
      </c>
      <c r="H46" s="62">
        <v>9.0</v>
      </c>
      <c r="I46" s="63">
        <f t="shared" si="6"/>
        <v>36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>
      <c r="A47" s="56" t="s">
        <v>12</v>
      </c>
      <c r="B47" s="19">
        <v>1.0</v>
      </c>
      <c r="C47" s="64">
        <v>2.15</v>
      </c>
      <c r="D47" s="58">
        <v>0.0</v>
      </c>
      <c r="E47" s="59">
        <f t="shared" si="4"/>
        <v>1</v>
      </c>
      <c r="F47" s="60">
        <v>0.4</v>
      </c>
      <c r="G47" s="61">
        <f t="shared" si="5"/>
        <v>3.01</v>
      </c>
      <c r="H47" s="62">
        <v>6.0</v>
      </c>
      <c r="I47" s="63">
        <f t="shared" si="6"/>
        <v>6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>
      <c r="A48" s="56" t="s">
        <v>23</v>
      </c>
      <c r="B48" s="19">
        <v>2.0</v>
      </c>
      <c r="C48" s="64">
        <v>3.8</v>
      </c>
      <c r="D48" s="58">
        <v>0.0</v>
      </c>
      <c r="E48" s="59">
        <f t="shared" si="4"/>
        <v>2</v>
      </c>
      <c r="F48" s="60">
        <v>0.4</v>
      </c>
      <c r="G48" s="61">
        <f t="shared" si="5"/>
        <v>5.32</v>
      </c>
      <c r="H48" s="62">
        <v>9.0</v>
      </c>
      <c r="I48" s="63">
        <f t="shared" si="6"/>
        <v>18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>
      <c r="A49" s="56" t="s">
        <v>227</v>
      </c>
      <c r="B49" s="19">
        <v>4.0</v>
      </c>
      <c r="C49" s="64">
        <v>3.45</v>
      </c>
      <c r="D49" s="58">
        <v>0.0</v>
      </c>
      <c r="E49" s="59">
        <f t="shared" si="4"/>
        <v>4</v>
      </c>
      <c r="F49" s="60">
        <v>0.4</v>
      </c>
      <c r="G49" s="61">
        <f t="shared" si="5"/>
        <v>4.83</v>
      </c>
      <c r="H49" s="62">
        <v>10.0</v>
      </c>
      <c r="I49" s="63">
        <f t="shared" si="6"/>
        <v>40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>
      <c r="A50" s="56" t="s">
        <v>231</v>
      </c>
      <c r="B50" s="19">
        <v>2.0</v>
      </c>
      <c r="C50" s="64">
        <v>3.45</v>
      </c>
      <c r="D50" s="58">
        <v>0.0</v>
      </c>
      <c r="E50" s="59">
        <f t="shared" si="4"/>
        <v>2</v>
      </c>
      <c r="F50" s="60">
        <v>0.4</v>
      </c>
      <c r="G50" s="61">
        <f t="shared" si="5"/>
        <v>4.83</v>
      </c>
      <c r="H50" s="62">
        <v>10.0</v>
      </c>
      <c r="I50" s="63">
        <f t="shared" si="6"/>
        <v>20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>
      <c r="A51" s="56" t="s">
        <v>235</v>
      </c>
      <c r="B51" s="19">
        <v>8.0</v>
      </c>
      <c r="C51" s="64">
        <v>3.15</v>
      </c>
      <c r="D51" s="58">
        <v>0.0</v>
      </c>
      <c r="E51" s="59">
        <f t="shared" si="4"/>
        <v>8</v>
      </c>
      <c r="F51" s="60">
        <v>0.4</v>
      </c>
      <c r="G51" s="61">
        <f t="shared" si="5"/>
        <v>4.41</v>
      </c>
      <c r="H51" s="62">
        <v>8.0</v>
      </c>
      <c r="I51" s="63">
        <f t="shared" si="6"/>
        <v>64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>
      <c r="A52" s="56" t="s">
        <v>242</v>
      </c>
      <c r="B52" s="19">
        <v>2.0</v>
      </c>
      <c r="C52" s="64">
        <v>3.15</v>
      </c>
      <c r="D52" s="58">
        <v>0.0</v>
      </c>
      <c r="E52" s="59">
        <f t="shared" si="4"/>
        <v>2</v>
      </c>
      <c r="F52" s="60">
        <v>0.4</v>
      </c>
      <c r="G52" s="61">
        <f t="shared" si="5"/>
        <v>4.41</v>
      </c>
      <c r="H52" s="62">
        <v>7.0</v>
      </c>
      <c r="I52" s="63">
        <f t="shared" si="6"/>
        <v>14</v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>
      <c r="A53" s="56" t="s">
        <v>248</v>
      </c>
      <c r="B53" s="66">
        <v>2.0</v>
      </c>
      <c r="C53" s="64">
        <v>4.95</v>
      </c>
      <c r="D53" s="58">
        <v>0.0</v>
      </c>
      <c r="E53" s="59">
        <f t="shared" si="4"/>
        <v>2</v>
      </c>
      <c r="F53" s="60">
        <v>0.4</v>
      </c>
      <c r="G53" s="61">
        <f t="shared" si="5"/>
        <v>6.93</v>
      </c>
      <c r="H53" s="62">
        <v>11.0</v>
      </c>
      <c r="I53" s="63">
        <f t="shared" si="6"/>
        <v>22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>
      <c r="A54" s="56" t="s">
        <v>254</v>
      </c>
      <c r="B54" s="19">
        <v>2.0</v>
      </c>
      <c r="C54" s="64">
        <v>5.25</v>
      </c>
      <c r="D54" s="58">
        <v>0.0</v>
      </c>
      <c r="E54" s="59">
        <f t="shared" si="4"/>
        <v>2</v>
      </c>
      <c r="F54" s="60">
        <v>0.4</v>
      </c>
      <c r="G54" s="61">
        <f t="shared" si="5"/>
        <v>7.35</v>
      </c>
      <c r="H54" s="62">
        <v>9.0</v>
      </c>
      <c r="I54" s="63">
        <f t="shared" si="6"/>
        <v>18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>
      <c r="A55" s="56" t="s">
        <v>259</v>
      </c>
      <c r="B55" s="19">
        <v>1.0</v>
      </c>
      <c r="C55" s="64">
        <v>5.25</v>
      </c>
      <c r="D55" s="58">
        <v>0.0</v>
      </c>
      <c r="E55" s="59">
        <f t="shared" si="4"/>
        <v>1</v>
      </c>
      <c r="F55" s="60">
        <v>0.4</v>
      </c>
      <c r="G55" s="61">
        <f t="shared" si="5"/>
        <v>7.35</v>
      </c>
      <c r="H55" s="62">
        <v>13.0</v>
      </c>
      <c r="I55" s="63">
        <f t="shared" si="6"/>
        <v>13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>
      <c r="A56" s="17" t="s">
        <v>263</v>
      </c>
      <c r="B56" s="19">
        <v>0.0</v>
      </c>
      <c r="C56" s="64">
        <v>5.25</v>
      </c>
      <c r="D56" s="58">
        <v>0.0</v>
      </c>
      <c r="E56" s="59">
        <f t="shared" si="4"/>
        <v>0</v>
      </c>
      <c r="F56" s="60">
        <v>0.4</v>
      </c>
      <c r="G56" s="61">
        <f t="shared" si="5"/>
        <v>7.35</v>
      </c>
      <c r="H56" s="62">
        <v>13.0</v>
      </c>
      <c r="I56" s="67">
        <f t="shared" si="6"/>
        <v>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>
      <c r="A57" s="56" t="s">
        <v>271</v>
      </c>
      <c r="B57" s="19">
        <v>2.0</v>
      </c>
      <c r="C57" s="64">
        <v>5.25</v>
      </c>
      <c r="D57" s="58">
        <v>0.0</v>
      </c>
      <c r="E57" s="59">
        <f t="shared" si="4"/>
        <v>2</v>
      </c>
      <c r="F57" s="60">
        <v>0.4</v>
      </c>
      <c r="G57" s="61">
        <f t="shared" si="5"/>
        <v>7.35</v>
      </c>
      <c r="H57" s="62">
        <v>10.0</v>
      </c>
      <c r="I57" s="63">
        <f t="shared" si="6"/>
        <v>20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>
      <c r="A58" s="56" t="s">
        <v>277</v>
      </c>
      <c r="B58" s="19">
        <v>1.0</v>
      </c>
      <c r="C58" s="64">
        <v>5.25</v>
      </c>
      <c r="D58" s="58">
        <v>0.0</v>
      </c>
      <c r="E58" s="59">
        <f t="shared" si="4"/>
        <v>1</v>
      </c>
      <c r="F58" s="60">
        <v>0.4</v>
      </c>
      <c r="G58" s="61">
        <f t="shared" si="5"/>
        <v>7.35</v>
      </c>
      <c r="H58" s="62">
        <v>11.0</v>
      </c>
      <c r="I58" s="63">
        <f t="shared" si="6"/>
        <v>11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>
      <c r="A59" s="56" t="s">
        <v>284</v>
      </c>
      <c r="B59" s="19">
        <v>1.0</v>
      </c>
      <c r="C59" s="64">
        <v>5.25</v>
      </c>
      <c r="D59" s="58">
        <v>0.0</v>
      </c>
      <c r="E59" s="59">
        <f t="shared" si="4"/>
        <v>1</v>
      </c>
      <c r="F59" s="60">
        <v>0.4</v>
      </c>
      <c r="G59" s="61">
        <f t="shared" si="5"/>
        <v>7.35</v>
      </c>
      <c r="H59" s="62">
        <v>15.0</v>
      </c>
      <c r="I59" s="63">
        <f t="shared" si="6"/>
        <v>15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>
      <c r="A60" s="17" t="s">
        <v>292</v>
      </c>
      <c r="B60" s="19">
        <v>0.0</v>
      </c>
      <c r="C60" s="64">
        <v>5.25</v>
      </c>
      <c r="D60" s="68"/>
      <c r="E60" s="69"/>
      <c r="F60" s="60">
        <v>0.3</v>
      </c>
      <c r="G60" s="61">
        <f t="shared" si="5"/>
        <v>6.825</v>
      </c>
      <c r="H60" s="62">
        <v>25.0</v>
      </c>
      <c r="I60" s="67">
        <f t="shared" si="6"/>
        <v>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>
      <c r="A61" s="56" t="s">
        <v>297</v>
      </c>
      <c r="B61" s="19">
        <v>2.0</v>
      </c>
      <c r="C61" s="64">
        <v>5.25</v>
      </c>
      <c r="D61" s="58">
        <v>0.0</v>
      </c>
      <c r="E61" s="59">
        <f t="shared" ref="E61:E73" si="7">+B61-D61</f>
        <v>2</v>
      </c>
      <c r="F61" s="60">
        <v>0.3</v>
      </c>
      <c r="G61" s="61">
        <f t="shared" si="5"/>
        <v>6.825</v>
      </c>
      <c r="H61" s="62">
        <v>25.0</v>
      </c>
      <c r="I61" s="63">
        <f t="shared" si="6"/>
        <v>50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>
      <c r="A62" s="56" t="s">
        <v>304</v>
      </c>
      <c r="B62" s="19">
        <v>3.0</v>
      </c>
      <c r="C62" s="64">
        <v>5.25</v>
      </c>
      <c r="D62" s="58">
        <v>0.0</v>
      </c>
      <c r="E62" s="59">
        <f t="shared" si="7"/>
        <v>3</v>
      </c>
      <c r="F62" s="60">
        <v>0.3</v>
      </c>
      <c r="G62" s="61">
        <f t="shared" si="5"/>
        <v>6.825</v>
      </c>
      <c r="H62" s="62">
        <v>20.0</v>
      </c>
      <c r="I62" s="63">
        <f t="shared" si="6"/>
        <v>60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>
      <c r="A63" s="56" t="s">
        <v>307</v>
      </c>
      <c r="B63" s="19">
        <v>3.0</v>
      </c>
      <c r="C63" s="64">
        <v>5.25</v>
      </c>
      <c r="D63" s="58">
        <v>0.0</v>
      </c>
      <c r="E63" s="59">
        <f t="shared" si="7"/>
        <v>3</v>
      </c>
      <c r="F63" s="60">
        <v>0.3</v>
      </c>
      <c r="G63" s="61">
        <f t="shared" si="5"/>
        <v>6.825</v>
      </c>
      <c r="H63" s="62">
        <v>14.0</v>
      </c>
      <c r="I63" s="63">
        <f t="shared" si="6"/>
        <v>42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>
      <c r="A64" s="56" t="s">
        <v>311</v>
      </c>
      <c r="B64" s="19">
        <v>1.0</v>
      </c>
      <c r="C64" s="64">
        <v>5.25</v>
      </c>
      <c r="D64" s="58">
        <v>0.0</v>
      </c>
      <c r="E64" s="59">
        <f t="shared" si="7"/>
        <v>1</v>
      </c>
      <c r="F64" s="60">
        <v>0.3</v>
      </c>
      <c r="G64" s="61">
        <f t="shared" si="5"/>
        <v>6.825</v>
      </c>
      <c r="H64" s="62">
        <v>17.0</v>
      </c>
      <c r="I64" s="63">
        <f t="shared" si="6"/>
        <v>17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>
      <c r="A65" s="56" t="s">
        <v>313</v>
      </c>
      <c r="B65" s="19">
        <v>1.0</v>
      </c>
      <c r="C65" s="64">
        <v>5.25</v>
      </c>
      <c r="D65" s="58">
        <v>0.0</v>
      </c>
      <c r="E65" s="59">
        <f t="shared" si="7"/>
        <v>1</v>
      </c>
      <c r="F65" s="60">
        <v>0.4</v>
      </c>
      <c r="G65" s="61">
        <f t="shared" si="5"/>
        <v>7.35</v>
      </c>
      <c r="H65" s="62">
        <v>15.0</v>
      </c>
      <c r="I65" s="63">
        <f t="shared" si="6"/>
        <v>15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>
      <c r="A66" s="56" t="s">
        <v>318</v>
      </c>
      <c r="B66" s="19">
        <v>1.0</v>
      </c>
      <c r="C66" s="64">
        <v>5.25</v>
      </c>
      <c r="D66" s="58">
        <v>0.0</v>
      </c>
      <c r="E66" s="59">
        <f t="shared" si="7"/>
        <v>1</v>
      </c>
      <c r="F66" s="60">
        <v>0.4</v>
      </c>
      <c r="G66" s="61">
        <f t="shared" si="5"/>
        <v>7.35</v>
      </c>
      <c r="H66" s="62">
        <v>18.0</v>
      </c>
      <c r="I66" s="63">
        <f t="shared" si="6"/>
        <v>18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>
      <c r="A67" s="56" t="s">
        <v>321</v>
      </c>
      <c r="B67" s="19">
        <v>1.0</v>
      </c>
      <c r="C67" s="64">
        <v>5.25</v>
      </c>
      <c r="D67" s="58">
        <v>0.0</v>
      </c>
      <c r="E67" s="59">
        <f t="shared" si="7"/>
        <v>1</v>
      </c>
      <c r="F67" s="60">
        <v>0.4</v>
      </c>
      <c r="G67" s="61">
        <f t="shared" si="5"/>
        <v>7.35</v>
      </c>
      <c r="H67" s="62">
        <v>11.0</v>
      </c>
      <c r="I67" s="63">
        <f t="shared" si="6"/>
        <v>11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>
      <c r="A68" s="56" t="s">
        <v>326</v>
      </c>
      <c r="B68" s="19">
        <v>2.0</v>
      </c>
      <c r="C68" s="64">
        <v>5.25</v>
      </c>
      <c r="D68" s="58">
        <v>0.0</v>
      </c>
      <c r="E68" s="59">
        <f t="shared" si="7"/>
        <v>2</v>
      </c>
      <c r="F68" s="60">
        <v>0.4</v>
      </c>
      <c r="G68" s="61">
        <f t="shared" si="5"/>
        <v>7.35</v>
      </c>
      <c r="H68" s="62">
        <v>12.0</v>
      </c>
      <c r="I68" s="63">
        <f t="shared" si="6"/>
        <v>24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>
      <c r="A69" s="56" t="s">
        <v>329</v>
      </c>
      <c r="B69" s="19">
        <v>2.0</v>
      </c>
      <c r="C69" s="64">
        <v>5.25</v>
      </c>
      <c r="D69" s="58">
        <v>0.0</v>
      </c>
      <c r="E69" s="59">
        <f t="shared" si="7"/>
        <v>2</v>
      </c>
      <c r="F69" s="60">
        <v>0.4</v>
      </c>
      <c r="G69" s="61">
        <f t="shared" si="5"/>
        <v>7.35</v>
      </c>
      <c r="H69" s="62">
        <v>13.0</v>
      </c>
      <c r="I69" s="63">
        <f t="shared" si="6"/>
        <v>26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>
      <c r="A70" s="56" t="s">
        <v>334</v>
      </c>
      <c r="B70" s="19">
        <v>6.0</v>
      </c>
      <c r="C70" s="64">
        <v>5.25</v>
      </c>
      <c r="D70" s="58">
        <v>0.0</v>
      </c>
      <c r="E70" s="59">
        <f t="shared" si="7"/>
        <v>6</v>
      </c>
      <c r="F70" s="60">
        <v>0.4</v>
      </c>
      <c r="G70" s="61">
        <f t="shared" si="5"/>
        <v>7.35</v>
      </c>
      <c r="H70" s="62">
        <v>5.0</v>
      </c>
      <c r="I70" s="63">
        <f t="shared" si="6"/>
        <v>30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>
      <c r="A71" s="56" t="s">
        <v>336</v>
      </c>
      <c r="B71" s="19">
        <v>6.0</v>
      </c>
      <c r="C71" s="64">
        <v>5.25</v>
      </c>
      <c r="D71" s="58">
        <v>0.0</v>
      </c>
      <c r="E71" s="59">
        <f t="shared" si="7"/>
        <v>6</v>
      </c>
      <c r="F71" s="60">
        <v>0.4</v>
      </c>
      <c r="G71" s="61">
        <f t="shared" si="5"/>
        <v>7.35</v>
      </c>
      <c r="H71" s="62">
        <v>9.0</v>
      </c>
      <c r="I71" s="63">
        <f t="shared" si="6"/>
        <v>54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>
      <c r="A72" s="56" t="s">
        <v>339</v>
      </c>
      <c r="B72" s="19">
        <v>6.0</v>
      </c>
      <c r="C72" s="64">
        <v>5.25</v>
      </c>
      <c r="D72" s="58">
        <v>0.0</v>
      </c>
      <c r="E72" s="59">
        <f t="shared" si="7"/>
        <v>6</v>
      </c>
      <c r="F72" s="60">
        <v>0.4</v>
      </c>
      <c r="G72" s="61">
        <f t="shared" si="5"/>
        <v>7.35</v>
      </c>
      <c r="H72" s="62">
        <v>9.0</v>
      </c>
      <c r="I72" s="63">
        <f t="shared" si="6"/>
        <v>54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>
      <c r="A73" s="56" t="s">
        <v>344</v>
      </c>
      <c r="B73" s="19">
        <v>6.0</v>
      </c>
      <c r="C73" s="64">
        <v>5.25</v>
      </c>
      <c r="D73" s="58">
        <v>0.0</v>
      </c>
      <c r="E73" s="59">
        <f t="shared" si="7"/>
        <v>6</v>
      </c>
      <c r="F73" s="60">
        <v>0.4</v>
      </c>
      <c r="G73" s="61">
        <f t="shared" si="5"/>
        <v>7.35</v>
      </c>
      <c r="H73" s="62">
        <v>16.0</v>
      </c>
      <c r="I73" s="63">
        <f t="shared" si="6"/>
        <v>96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>
      <c r="A74" s="46"/>
      <c r="B74" s="19">
        <f>SUM(B38:B73)</f>
        <v>92</v>
      </c>
      <c r="C74" s="47"/>
      <c r="D74" s="47"/>
      <c r="E74" s="47"/>
      <c r="F74" s="70"/>
      <c r="G74" s="71"/>
      <c r="H74" s="51"/>
      <c r="I74" s="50">
        <f>SUM(I38:I73)</f>
        <v>1007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>
      <c r="A75" s="72"/>
      <c r="B75" s="73"/>
      <c r="C75" s="73"/>
      <c r="D75" s="73"/>
      <c r="E75" s="73"/>
      <c r="F75" s="74"/>
      <c r="G75" s="75"/>
      <c r="H75" s="76"/>
      <c r="I75" s="77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>
      <c r="A76" s="2" t="s">
        <v>354</v>
      </c>
      <c r="B76" s="4"/>
      <c r="C76" s="4"/>
      <c r="D76" s="4"/>
      <c r="E76" s="4"/>
      <c r="F76" s="4"/>
      <c r="G76" s="4"/>
      <c r="H76" s="4"/>
      <c r="I76" s="6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>
      <c r="A77" s="11" t="s">
        <v>9</v>
      </c>
      <c r="B77" s="13" t="s">
        <v>11</v>
      </c>
      <c r="C77" s="15" t="s">
        <v>13</v>
      </c>
      <c r="D77" s="15" t="s">
        <v>15</v>
      </c>
      <c r="E77" s="15" t="s">
        <v>16</v>
      </c>
      <c r="F77" s="15" t="s">
        <v>17</v>
      </c>
      <c r="G77" s="15" t="s">
        <v>18</v>
      </c>
      <c r="H77" s="15" t="s">
        <v>19</v>
      </c>
      <c r="I77" s="15" t="s">
        <v>16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>
      <c r="A78" s="56" t="s">
        <v>362</v>
      </c>
      <c r="B78" s="19">
        <v>5.0</v>
      </c>
      <c r="C78" s="64">
        <v>10.0</v>
      </c>
      <c r="D78" s="58">
        <v>0.0</v>
      </c>
      <c r="E78" s="59">
        <f t="shared" ref="E78:E152" si="8">+B78-D78</f>
        <v>5</v>
      </c>
      <c r="F78" s="60">
        <v>0.4</v>
      </c>
      <c r="G78" s="79">
        <f t="shared" ref="G78:G133" si="9">C78+(C78*F78)</f>
        <v>14</v>
      </c>
      <c r="H78" s="62">
        <v>30.0</v>
      </c>
      <c r="I78" s="63">
        <f t="shared" ref="I78:I152" si="10">+E78*H78</f>
        <v>150</v>
      </c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>
      <c r="A79" s="56" t="s">
        <v>373</v>
      </c>
      <c r="B79" s="19">
        <v>8.0</v>
      </c>
      <c r="C79" s="64">
        <v>10.0</v>
      </c>
      <c r="D79" s="58">
        <v>0.0</v>
      </c>
      <c r="E79" s="59">
        <f t="shared" si="8"/>
        <v>8</v>
      </c>
      <c r="F79" s="60">
        <v>0.4</v>
      </c>
      <c r="G79" s="79">
        <f t="shared" si="9"/>
        <v>14</v>
      </c>
      <c r="H79" s="62">
        <v>25.0</v>
      </c>
      <c r="I79" s="63">
        <f t="shared" si="10"/>
        <v>200</v>
      </c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>
      <c r="A80" s="56" t="s">
        <v>378</v>
      </c>
      <c r="B80" s="19">
        <v>1.0</v>
      </c>
      <c r="C80" s="64">
        <v>10.0</v>
      </c>
      <c r="D80" s="58">
        <v>0.0</v>
      </c>
      <c r="E80" s="59">
        <f t="shared" si="8"/>
        <v>1</v>
      </c>
      <c r="F80" s="60">
        <v>0.4</v>
      </c>
      <c r="G80" s="79">
        <f t="shared" si="9"/>
        <v>14</v>
      </c>
      <c r="H80" s="62">
        <v>30.0</v>
      </c>
      <c r="I80" s="63">
        <f t="shared" si="10"/>
        <v>30</v>
      </c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>
      <c r="A81" s="56" t="s">
        <v>385</v>
      </c>
      <c r="B81" s="19">
        <v>1.0</v>
      </c>
      <c r="C81" s="64">
        <v>10.0</v>
      </c>
      <c r="D81" s="58">
        <v>0.0</v>
      </c>
      <c r="E81" s="59">
        <f t="shared" si="8"/>
        <v>1</v>
      </c>
      <c r="F81" s="60">
        <v>0.4</v>
      </c>
      <c r="G81" s="79">
        <f t="shared" si="9"/>
        <v>14</v>
      </c>
      <c r="H81" s="62">
        <v>30.0</v>
      </c>
      <c r="I81" s="63">
        <f t="shared" si="10"/>
        <v>30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>
      <c r="A82" s="56" t="s">
        <v>387</v>
      </c>
      <c r="B82" s="19">
        <v>1.0</v>
      </c>
      <c r="C82" s="64">
        <v>10.0</v>
      </c>
      <c r="D82" s="58">
        <v>0.0</v>
      </c>
      <c r="E82" s="59">
        <f t="shared" si="8"/>
        <v>1</v>
      </c>
      <c r="F82" s="60">
        <v>0.3</v>
      </c>
      <c r="G82" s="61">
        <f t="shared" si="9"/>
        <v>13</v>
      </c>
      <c r="H82" s="81">
        <v>30.0</v>
      </c>
      <c r="I82" s="63">
        <f t="shared" si="10"/>
        <v>30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>
      <c r="A83" s="56" t="s">
        <v>389</v>
      </c>
      <c r="B83" s="19">
        <v>1.0</v>
      </c>
      <c r="C83" s="64">
        <v>10.0</v>
      </c>
      <c r="D83" s="58">
        <v>0.0</v>
      </c>
      <c r="E83" s="59">
        <f t="shared" si="8"/>
        <v>1</v>
      </c>
      <c r="F83" s="60">
        <v>0.3</v>
      </c>
      <c r="G83" s="61">
        <f t="shared" si="9"/>
        <v>13</v>
      </c>
      <c r="H83" s="81">
        <v>30.0</v>
      </c>
      <c r="I83" s="63">
        <f t="shared" si="10"/>
        <v>30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>
      <c r="A84" s="56" t="s">
        <v>392</v>
      </c>
      <c r="B84" s="19">
        <v>1.0</v>
      </c>
      <c r="C84" s="64">
        <v>10.0</v>
      </c>
      <c r="D84" s="58">
        <v>0.0</v>
      </c>
      <c r="E84" s="59">
        <f t="shared" si="8"/>
        <v>1</v>
      </c>
      <c r="F84" s="60">
        <v>0.4</v>
      </c>
      <c r="G84" s="79">
        <f t="shared" si="9"/>
        <v>14</v>
      </c>
      <c r="H84" s="62">
        <v>23.0</v>
      </c>
      <c r="I84" s="63">
        <f t="shared" si="10"/>
        <v>23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>
      <c r="A85" s="56" t="s">
        <v>396</v>
      </c>
      <c r="B85" s="19">
        <v>2.0</v>
      </c>
      <c r="C85" s="64">
        <v>10.0</v>
      </c>
      <c r="D85" s="58">
        <v>0.0</v>
      </c>
      <c r="E85" s="59">
        <f t="shared" si="8"/>
        <v>2</v>
      </c>
      <c r="F85" s="60">
        <v>0.4</v>
      </c>
      <c r="G85" s="79">
        <f t="shared" si="9"/>
        <v>14</v>
      </c>
      <c r="H85" s="62">
        <v>23.0</v>
      </c>
      <c r="I85" s="63">
        <f t="shared" si="10"/>
        <v>46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>
      <c r="A86" s="56" t="s">
        <v>398</v>
      </c>
      <c r="B86" s="19">
        <v>2.0</v>
      </c>
      <c r="C86" s="64">
        <v>10.0</v>
      </c>
      <c r="D86" s="58">
        <v>0.0</v>
      </c>
      <c r="E86" s="59">
        <f t="shared" si="8"/>
        <v>2</v>
      </c>
      <c r="F86" s="60">
        <v>0.4</v>
      </c>
      <c r="G86" s="79">
        <f t="shared" si="9"/>
        <v>14</v>
      </c>
      <c r="H86" s="62">
        <v>14.0</v>
      </c>
      <c r="I86" s="63">
        <f t="shared" si="10"/>
        <v>28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>
      <c r="A87" s="56" t="s">
        <v>403</v>
      </c>
      <c r="B87" s="19">
        <v>4.0</v>
      </c>
      <c r="C87" s="64">
        <v>10.0</v>
      </c>
      <c r="D87" s="58">
        <v>0.0</v>
      </c>
      <c r="E87" s="59">
        <f t="shared" si="8"/>
        <v>4</v>
      </c>
      <c r="F87" s="60">
        <v>0.4</v>
      </c>
      <c r="G87" s="79">
        <f t="shared" si="9"/>
        <v>14</v>
      </c>
      <c r="H87" s="62">
        <v>10.0</v>
      </c>
      <c r="I87" s="63">
        <f t="shared" si="10"/>
        <v>40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>
      <c r="A88" s="56" t="s">
        <v>407</v>
      </c>
      <c r="B88" s="19">
        <v>5.0</v>
      </c>
      <c r="C88" s="64">
        <v>10.0</v>
      </c>
      <c r="D88" s="58">
        <v>0.0</v>
      </c>
      <c r="E88" s="59">
        <f t="shared" si="8"/>
        <v>5</v>
      </c>
      <c r="F88" s="60">
        <v>0.4</v>
      </c>
      <c r="G88" s="79">
        <f t="shared" si="9"/>
        <v>14</v>
      </c>
      <c r="H88" s="62">
        <v>10.0</v>
      </c>
      <c r="I88" s="63">
        <f t="shared" si="10"/>
        <v>50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>
      <c r="A89" s="56" t="s">
        <v>410</v>
      </c>
      <c r="B89" s="19">
        <v>2.0</v>
      </c>
      <c r="C89" s="64">
        <v>10.0</v>
      </c>
      <c r="D89" s="58">
        <v>0.0</v>
      </c>
      <c r="E89" s="82">
        <f t="shared" si="8"/>
        <v>2</v>
      </c>
      <c r="F89" s="60">
        <v>0.4</v>
      </c>
      <c r="G89" s="79">
        <f t="shared" si="9"/>
        <v>14</v>
      </c>
      <c r="H89" s="62">
        <v>12.0</v>
      </c>
      <c r="I89" s="63">
        <f t="shared" si="10"/>
        <v>24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>
      <c r="A90" s="56" t="s">
        <v>414</v>
      </c>
      <c r="B90" s="19">
        <v>7.0</v>
      </c>
      <c r="C90" s="57">
        <v>6.75</v>
      </c>
      <c r="D90" s="58">
        <v>0.0</v>
      </c>
      <c r="E90" s="59">
        <f t="shared" si="8"/>
        <v>7</v>
      </c>
      <c r="F90" s="60">
        <v>0.4</v>
      </c>
      <c r="G90" s="61">
        <f t="shared" si="9"/>
        <v>9.45</v>
      </c>
      <c r="H90" s="62">
        <v>14.0</v>
      </c>
      <c r="I90" s="63">
        <f t="shared" si="10"/>
        <v>98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>
      <c r="A91" s="56" t="s">
        <v>419</v>
      </c>
      <c r="B91" s="19">
        <v>6.0</v>
      </c>
      <c r="C91" s="57">
        <v>16.5</v>
      </c>
      <c r="D91" s="58">
        <v>0.0</v>
      </c>
      <c r="E91" s="59">
        <f t="shared" si="8"/>
        <v>6</v>
      </c>
      <c r="F91" s="60">
        <v>0.4</v>
      </c>
      <c r="G91" s="61">
        <f t="shared" si="9"/>
        <v>23.1</v>
      </c>
      <c r="H91" s="62">
        <v>20.0</v>
      </c>
      <c r="I91" s="63">
        <f t="shared" si="10"/>
        <v>120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>
      <c r="A92" s="56" t="s">
        <v>424</v>
      </c>
      <c r="B92" s="19">
        <v>7.0</v>
      </c>
      <c r="C92" s="57">
        <v>2.84</v>
      </c>
      <c r="D92" s="58">
        <v>0.0</v>
      </c>
      <c r="E92" s="59">
        <f t="shared" si="8"/>
        <v>7</v>
      </c>
      <c r="F92" s="60">
        <v>0.4</v>
      </c>
      <c r="G92" s="61">
        <f t="shared" si="9"/>
        <v>3.976</v>
      </c>
      <c r="H92" s="62">
        <v>5.0</v>
      </c>
      <c r="I92" s="63">
        <f t="shared" si="10"/>
        <v>35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56" t="s">
        <v>429</v>
      </c>
      <c r="B93" s="19">
        <v>4.0</v>
      </c>
      <c r="C93" s="57">
        <v>4.71</v>
      </c>
      <c r="D93" s="58">
        <v>0.0</v>
      </c>
      <c r="E93" s="59">
        <f t="shared" si="8"/>
        <v>4</v>
      </c>
      <c r="F93" s="60">
        <v>0.4</v>
      </c>
      <c r="G93" s="61">
        <f t="shared" si="9"/>
        <v>6.594</v>
      </c>
      <c r="H93" s="62">
        <v>8.0</v>
      </c>
      <c r="I93" s="63">
        <f t="shared" si="10"/>
        <v>32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56" t="s">
        <v>433</v>
      </c>
      <c r="B94" s="19">
        <v>3.0</v>
      </c>
      <c r="C94" s="57">
        <v>5.92</v>
      </c>
      <c r="D94" s="58">
        <v>0.0</v>
      </c>
      <c r="E94" s="59">
        <f t="shared" si="8"/>
        <v>3</v>
      </c>
      <c r="F94" s="60">
        <v>0.4</v>
      </c>
      <c r="G94" s="61">
        <f t="shared" si="9"/>
        <v>8.288</v>
      </c>
      <c r="H94" s="62">
        <v>8.0</v>
      </c>
      <c r="I94" s="63">
        <f t="shared" si="10"/>
        <v>24</v>
      </c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>
      <c r="A95" s="56" t="s">
        <v>440</v>
      </c>
      <c r="B95" s="19">
        <v>4.0</v>
      </c>
      <c r="C95" s="57">
        <v>5.58</v>
      </c>
      <c r="D95" s="58">
        <v>0.0</v>
      </c>
      <c r="E95" s="59">
        <f t="shared" si="8"/>
        <v>4</v>
      </c>
      <c r="F95" s="60">
        <v>0.4</v>
      </c>
      <c r="G95" s="61">
        <f t="shared" si="9"/>
        <v>7.812</v>
      </c>
      <c r="H95" s="62">
        <v>8.0</v>
      </c>
      <c r="I95" s="63">
        <f t="shared" si="10"/>
        <v>32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56" t="s">
        <v>445</v>
      </c>
      <c r="B96" s="19">
        <v>2.0</v>
      </c>
      <c r="C96" s="57">
        <v>6.47</v>
      </c>
      <c r="D96" s="58">
        <v>0.0</v>
      </c>
      <c r="E96" s="59">
        <f t="shared" si="8"/>
        <v>2</v>
      </c>
      <c r="F96" s="60">
        <v>0.4</v>
      </c>
      <c r="G96" s="61">
        <f t="shared" si="9"/>
        <v>9.058</v>
      </c>
      <c r="H96" s="62">
        <v>11.0</v>
      </c>
      <c r="I96" s="63">
        <f t="shared" si="10"/>
        <v>22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56" t="s">
        <v>450</v>
      </c>
      <c r="B97" s="19">
        <v>18.0</v>
      </c>
      <c r="C97" s="64">
        <v>1.55</v>
      </c>
      <c r="D97" s="58">
        <v>0.0</v>
      </c>
      <c r="E97" s="59">
        <f t="shared" si="8"/>
        <v>18</v>
      </c>
      <c r="F97" s="60">
        <v>0.4</v>
      </c>
      <c r="G97" s="61">
        <f t="shared" si="9"/>
        <v>2.17</v>
      </c>
      <c r="H97" s="62">
        <v>4.0</v>
      </c>
      <c r="I97" s="63">
        <f t="shared" si="10"/>
        <v>72</v>
      </c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>
      <c r="A98" s="56" t="s">
        <v>454</v>
      </c>
      <c r="B98" s="19">
        <v>1.0</v>
      </c>
      <c r="C98" s="57">
        <v>7.3</v>
      </c>
      <c r="D98" s="58">
        <v>0.0</v>
      </c>
      <c r="E98" s="59">
        <f t="shared" si="8"/>
        <v>1</v>
      </c>
      <c r="F98" s="60">
        <v>0.4</v>
      </c>
      <c r="G98" s="61">
        <f t="shared" si="9"/>
        <v>10.22</v>
      </c>
      <c r="H98" s="62">
        <v>12.0</v>
      </c>
      <c r="I98" s="63">
        <f t="shared" si="10"/>
        <v>12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56" t="s">
        <v>36</v>
      </c>
      <c r="B99" s="19">
        <v>1.0</v>
      </c>
      <c r="C99" s="57">
        <v>7.3</v>
      </c>
      <c r="D99" s="58">
        <v>0.0</v>
      </c>
      <c r="E99" s="59">
        <f t="shared" si="8"/>
        <v>1</v>
      </c>
      <c r="F99" s="60">
        <v>0.4</v>
      </c>
      <c r="G99" s="61">
        <f t="shared" si="9"/>
        <v>10.22</v>
      </c>
      <c r="H99" s="62">
        <v>12.0</v>
      </c>
      <c r="I99" s="63">
        <f t="shared" si="10"/>
        <v>12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56" t="s">
        <v>459</v>
      </c>
      <c r="B100" s="19">
        <v>3.0</v>
      </c>
      <c r="C100" s="57">
        <v>7.3</v>
      </c>
      <c r="D100" s="58">
        <v>0.0</v>
      </c>
      <c r="E100" s="59">
        <f t="shared" si="8"/>
        <v>3</v>
      </c>
      <c r="F100" s="60">
        <v>0.4</v>
      </c>
      <c r="G100" s="61">
        <f t="shared" si="9"/>
        <v>10.22</v>
      </c>
      <c r="H100" s="62">
        <v>12.0</v>
      </c>
      <c r="I100" s="63">
        <f t="shared" si="10"/>
        <v>36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56" t="s">
        <v>25</v>
      </c>
      <c r="B101" s="19">
        <v>4.0</v>
      </c>
      <c r="C101" s="57">
        <v>7.3</v>
      </c>
      <c r="D101" s="58">
        <v>0.0</v>
      </c>
      <c r="E101" s="59">
        <f t="shared" si="8"/>
        <v>4</v>
      </c>
      <c r="F101" s="60">
        <v>0.4</v>
      </c>
      <c r="G101" s="61">
        <f t="shared" si="9"/>
        <v>10.22</v>
      </c>
      <c r="H101" s="62">
        <v>8.0</v>
      </c>
      <c r="I101" s="63">
        <f t="shared" si="10"/>
        <v>32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56" t="s">
        <v>29</v>
      </c>
      <c r="B102" s="19">
        <v>8.0</v>
      </c>
      <c r="C102" s="57">
        <v>7.3</v>
      </c>
      <c r="D102" s="58">
        <v>0.0</v>
      </c>
      <c r="E102" s="59">
        <f t="shared" si="8"/>
        <v>8</v>
      </c>
      <c r="F102" s="60">
        <v>0.4</v>
      </c>
      <c r="G102" s="61">
        <f t="shared" si="9"/>
        <v>10.22</v>
      </c>
      <c r="H102" s="62">
        <v>12.0</v>
      </c>
      <c r="I102" s="63">
        <f t="shared" si="10"/>
        <v>96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56" t="s">
        <v>34</v>
      </c>
      <c r="B103" s="19">
        <v>3.0</v>
      </c>
      <c r="C103" s="57">
        <v>7.3</v>
      </c>
      <c r="D103" s="58">
        <v>0.0</v>
      </c>
      <c r="E103" s="59">
        <f t="shared" si="8"/>
        <v>3</v>
      </c>
      <c r="F103" s="60">
        <v>0.4</v>
      </c>
      <c r="G103" s="61">
        <f t="shared" si="9"/>
        <v>10.22</v>
      </c>
      <c r="H103" s="62">
        <v>15.0</v>
      </c>
      <c r="I103" s="63">
        <f t="shared" si="10"/>
        <v>45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56" t="s">
        <v>46</v>
      </c>
      <c r="B104" s="19">
        <v>2.0</v>
      </c>
      <c r="C104" s="57">
        <v>7.3</v>
      </c>
      <c r="D104" s="58">
        <v>0.0</v>
      </c>
      <c r="E104" s="59">
        <f t="shared" si="8"/>
        <v>2</v>
      </c>
      <c r="F104" s="60">
        <v>0.4</v>
      </c>
      <c r="G104" s="61">
        <f t="shared" si="9"/>
        <v>10.22</v>
      </c>
      <c r="H104" s="62">
        <v>17.0</v>
      </c>
      <c r="I104" s="63">
        <f t="shared" si="10"/>
        <v>34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56" t="s">
        <v>49</v>
      </c>
      <c r="B105" s="19">
        <v>6.0</v>
      </c>
      <c r="C105" s="57">
        <v>7.3</v>
      </c>
      <c r="D105" s="58">
        <v>0.0</v>
      </c>
      <c r="E105" s="59">
        <f t="shared" si="8"/>
        <v>6</v>
      </c>
      <c r="F105" s="60">
        <v>0.4</v>
      </c>
      <c r="G105" s="61">
        <f t="shared" si="9"/>
        <v>10.22</v>
      </c>
      <c r="H105" s="62">
        <v>18.0</v>
      </c>
      <c r="I105" s="63">
        <f t="shared" si="10"/>
        <v>108</v>
      </c>
      <c r="J105" s="8" t="s">
        <v>474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56" t="s">
        <v>56</v>
      </c>
      <c r="B106" s="19">
        <v>6.0</v>
      </c>
      <c r="C106" s="57">
        <v>7.3</v>
      </c>
      <c r="D106" s="58">
        <v>0.0</v>
      </c>
      <c r="E106" s="59">
        <f t="shared" si="8"/>
        <v>6</v>
      </c>
      <c r="F106" s="60">
        <v>0.4</v>
      </c>
      <c r="G106" s="61">
        <f t="shared" si="9"/>
        <v>10.22</v>
      </c>
      <c r="H106" s="62">
        <v>15.0</v>
      </c>
      <c r="I106" s="63">
        <f t="shared" si="10"/>
        <v>90</v>
      </c>
      <c r="J106" s="8" t="s">
        <v>477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56" t="s">
        <v>52</v>
      </c>
      <c r="B107" s="19">
        <v>6.0</v>
      </c>
      <c r="C107" s="57">
        <v>7.3</v>
      </c>
      <c r="D107" s="58">
        <v>0.0</v>
      </c>
      <c r="E107" s="59">
        <f t="shared" si="8"/>
        <v>6</v>
      </c>
      <c r="F107" s="60">
        <v>0.4</v>
      </c>
      <c r="G107" s="61">
        <f t="shared" si="9"/>
        <v>10.22</v>
      </c>
      <c r="H107" s="62">
        <v>15.0</v>
      </c>
      <c r="I107" s="63">
        <f t="shared" si="10"/>
        <v>90</v>
      </c>
      <c r="J107" s="8" t="s">
        <v>477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56" t="s">
        <v>482</v>
      </c>
      <c r="B108" s="19">
        <v>7.0</v>
      </c>
      <c r="C108" s="64">
        <v>2.0</v>
      </c>
      <c r="D108" s="58">
        <v>0.0</v>
      </c>
      <c r="E108" s="83">
        <f t="shared" si="8"/>
        <v>7</v>
      </c>
      <c r="F108" s="60">
        <v>0.4</v>
      </c>
      <c r="G108" s="61">
        <f t="shared" si="9"/>
        <v>2.8</v>
      </c>
      <c r="H108" s="62">
        <v>7.0</v>
      </c>
      <c r="I108" s="63">
        <f t="shared" si="10"/>
        <v>49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56" t="s">
        <v>485</v>
      </c>
      <c r="B109" s="19">
        <v>8.0</v>
      </c>
      <c r="C109" s="64">
        <v>1.84</v>
      </c>
      <c r="D109" s="58">
        <v>0.0</v>
      </c>
      <c r="E109" s="83">
        <f t="shared" si="8"/>
        <v>8</v>
      </c>
      <c r="F109" s="60">
        <v>0.4</v>
      </c>
      <c r="G109" s="61">
        <f t="shared" si="9"/>
        <v>2.576</v>
      </c>
      <c r="H109" s="62">
        <v>7.0</v>
      </c>
      <c r="I109" s="63">
        <f t="shared" si="10"/>
        <v>56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56" t="s">
        <v>490</v>
      </c>
      <c r="B110" s="19">
        <v>7.0</v>
      </c>
      <c r="C110" s="64">
        <v>1.84</v>
      </c>
      <c r="D110" s="58">
        <v>0.0</v>
      </c>
      <c r="E110" s="83">
        <f t="shared" si="8"/>
        <v>7</v>
      </c>
      <c r="F110" s="60">
        <v>0.4</v>
      </c>
      <c r="G110" s="61">
        <f t="shared" si="9"/>
        <v>2.576</v>
      </c>
      <c r="H110" s="62">
        <v>8.0</v>
      </c>
      <c r="I110" s="63">
        <f t="shared" si="10"/>
        <v>56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56" t="s">
        <v>493</v>
      </c>
      <c r="B111" s="19">
        <v>8.0</v>
      </c>
      <c r="C111" s="57">
        <v>8.0</v>
      </c>
      <c r="D111" s="58">
        <v>0.0</v>
      </c>
      <c r="E111" s="83">
        <f t="shared" si="8"/>
        <v>8</v>
      </c>
      <c r="F111" s="60">
        <v>0.4</v>
      </c>
      <c r="G111" s="61">
        <f t="shared" si="9"/>
        <v>11.2</v>
      </c>
      <c r="H111" s="62">
        <v>10.0</v>
      </c>
      <c r="I111" s="63">
        <f t="shared" si="10"/>
        <v>80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56" t="s">
        <v>496</v>
      </c>
      <c r="B112" s="19">
        <v>1.0</v>
      </c>
      <c r="C112" s="57">
        <v>8.0</v>
      </c>
      <c r="D112" s="58">
        <v>0.0</v>
      </c>
      <c r="E112" s="83">
        <f t="shared" si="8"/>
        <v>1</v>
      </c>
      <c r="F112" s="60">
        <v>0.4</v>
      </c>
      <c r="G112" s="61">
        <f t="shared" si="9"/>
        <v>11.2</v>
      </c>
      <c r="H112" s="62">
        <v>10.0</v>
      </c>
      <c r="I112" s="63">
        <f t="shared" si="10"/>
        <v>10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56" t="s">
        <v>499</v>
      </c>
      <c r="B113" s="19">
        <v>9.0</v>
      </c>
      <c r="C113" s="85"/>
      <c r="D113" s="58">
        <v>0.0</v>
      </c>
      <c r="E113" s="59">
        <f t="shared" si="8"/>
        <v>9</v>
      </c>
      <c r="F113" s="60">
        <v>0.4</v>
      </c>
      <c r="G113" s="61">
        <f t="shared" si="9"/>
        <v>0</v>
      </c>
      <c r="H113" s="62">
        <v>6.0</v>
      </c>
      <c r="I113" s="63">
        <f t="shared" si="10"/>
        <v>54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56" t="s">
        <v>501</v>
      </c>
      <c r="B114" s="19">
        <v>8.0</v>
      </c>
      <c r="C114" s="86"/>
      <c r="D114" s="58">
        <v>0.0</v>
      </c>
      <c r="E114" s="59">
        <f t="shared" si="8"/>
        <v>8</v>
      </c>
      <c r="F114" s="60">
        <v>0.4</v>
      </c>
      <c r="G114" s="61">
        <f t="shared" si="9"/>
        <v>0</v>
      </c>
      <c r="H114" s="62">
        <v>6.0</v>
      </c>
      <c r="I114" s="63">
        <f t="shared" si="10"/>
        <v>48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56" t="s">
        <v>505</v>
      </c>
      <c r="B115" s="19">
        <v>22.0</v>
      </c>
      <c r="C115" s="86"/>
      <c r="D115" s="58">
        <v>0.0</v>
      </c>
      <c r="E115" s="59">
        <f t="shared" si="8"/>
        <v>22</v>
      </c>
      <c r="F115" s="60">
        <v>0.4</v>
      </c>
      <c r="G115" s="61">
        <f t="shared" si="9"/>
        <v>0</v>
      </c>
      <c r="H115" s="62">
        <v>3.0</v>
      </c>
      <c r="I115" s="63">
        <f t="shared" si="10"/>
        <v>66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56" t="s">
        <v>507</v>
      </c>
      <c r="B116" s="19">
        <v>2.0</v>
      </c>
      <c r="C116" s="86"/>
      <c r="D116" s="58">
        <v>0.0</v>
      </c>
      <c r="E116" s="59">
        <f t="shared" si="8"/>
        <v>2</v>
      </c>
      <c r="F116" s="60">
        <v>0.4</v>
      </c>
      <c r="G116" s="61">
        <f t="shared" si="9"/>
        <v>0</v>
      </c>
      <c r="H116" s="62">
        <v>5.0</v>
      </c>
      <c r="I116" s="63">
        <f t="shared" si="10"/>
        <v>10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56" t="s">
        <v>510</v>
      </c>
      <c r="B117" s="19">
        <v>3.0</v>
      </c>
      <c r="C117" s="86"/>
      <c r="D117" s="58">
        <v>0.0</v>
      </c>
      <c r="E117" s="59">
        <f t="shared" si="8"/>
        <v>3</v>
      </c>
      <c r="F117" s="60">
        <v>0.4</v>
      </c>
      <c r="G117" s="61">
        <f t="shared" si="9"/>
        <v>0</v>
      </c>
      <c r="H117" s="62">
        <v>6.0</v>
      </c>
      <c r="I117" s="63">
        <f t="shared" si="10"/>
        <v>18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56" t="s">
        <v>513</v>
      </c>
      <c r="B118" s="19">
        <v>2.0</v>
      </c>
      <c r="C118" s="86"/>
      <c r="D118" s="58">
        <v>0.0</v>
      </c>
      <c r="E118" s="59">
        <f t="shared" si="8"/>
        <v>2</v>
      </c>
      <c r="F118" s="60">
        <v>0.4</v>
      </c>
      <c r="G118" s="61">
        <f t="shared" si="9"/>
        <v>0</v>
      </c>
      <c r="H118" s="62">
        <v>12.0</v>
      </c>
      <c r="I118" s="63">
        <f t="shared" si="10"/>
        <v>24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56" t="s">
        <v>517</v>
      </c>
      <c r="B119" s="19">
        <v>2.0</v>
      </c>
      <c r="C119" s="86"/>
      <c r="D119" s="58">
        <v>0.0</v>
      </c>
      <c r="E119" s="59">
        <f t="shared" si="8"/>
        <v>2</v>
      </c>
      <c r="F119" s="60">
        <v>0.4</v>
      </c>
      <c r="G119" s="61">
        <f t="shared" si="9"/>
        <v>0</v>
      </c>
      <c r="H119" s="62">
        <v>14.0</v>
      </c>
      <c r="I119" s="63">
        <f t="shared" si="10"/>
        <v>28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56" t="s">
        <v>522</v>
      </c>
      <c r="B120" s="19">
        <v>6.0</v>
      </c>
      <c r="C120" s="85"/>
      <c r="D120" s="58">
        <v>0.0</v>
      </c>
      <c r="E120" s="59">
        <f t="shared" si="8"/>
        <v>6</v>
      </c>
      <c r="F120" s="60">
        <v>0.4</v>
      </c>
      <c r="G120" s="61">
        <f t="shared" si="9"/>
        <v>0</v>
      </c>
      <c r="H120" s="62">
        <v>14.0</v>
      </c>
      <c r="I120" s="63">
        <f t="shared" si="10"/>
        <v>84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56" t="s">
        <v>525</v>
      </c>
      <c r="B121" s="19">
        <v>8.0</v>
      </c>
      <c r="C121" s="85"/>
      <c r="D121" s="58">
        <v>0.0</v>
      </c>
      <c r="E121" s="59">
        <f t="shared" si="8"/>
        <v>8</v>
      </c>
      <c r="F121" s="60">
        <v>0.4</v>
      </c>
      <c r="G121" s="61">
        <f t="shared" si="9"/>
        <v>0</v>
      </c>
      <c r="H121" s="62">
        <v>10.0</v>
      </c>
      <c r="I121" s="63">
        <f t="shared" si="10"/>
        <v>80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87" t="s">
        <v>61</v>
      </c>
      <c r="B122" s="19">
        <v>1.0</v>
      </c>
      <c r="C122" s="85"/>
      <c r="D122" s="58">
        <v>0.0</v>
      </c>
      <c r="E122" s="59">
        <f t="shared" si="8"/>
        <v>1</v>
      </c>
      <c r="F122" s="60">
        <v>0.4</v>
      </c>
      <c r="G122" s="61">
        <f t="shared" si="9"/>
        <v>0</v>
      </c>
      <c r="H122" s="62">
        <v>10.0</v>
      </c>
      <c r="I122" s="63">
        <f t="shared" si="10"/>
        <v>10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87" t="s">
        <v>68</v>
      </c>
      <c r="B123" s="19">
        <v>4.0</v>
      </c>
      <c r="C123" s="85"/>
      <c r="D123" s="58">
        <v>0.0</v>
      </c>
      <c r="E123" s="59">
        <f t="shared" si="8"/>
        <v>4</v>
      </c>
      <c r="F123" s="60">
        <v>0.4</v>
      </c>
      <c r="G123" s="61">
        <f t="shared" si="9"/>
        <v>0</v>
      </c>
      <c r="H123" s="62">
        <v>11.0</v>
      </c>
      <c r="I123" s="63">
        <f t="shared" si="10"/>
        <v>44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56" t="s">
        <v>71</v>
      </c>
      <c r="B124" s="19">
        <v>9.0</v>
      </c>
      <c r="C124" s="85"/>
      <c r="D124" s="58">
        <v>0.0</v>
      </c>
      <c r="E124" s="59">
        <f t="shared" si="8"/>
        <v>9</v>
      </c>
      <c r="F124" s="60">
        <v>0.4</v>
      </c>
      <c r="G124" s="61">
        <f t="shared" si="9"/>
        <v>0</v>
      </c>
      <c r="H124" s="62">
        <v>11.0</v>
      </c>
      <c r="I124" s="63">
        <f t="shared" si="10"/>
        <v>99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56" t="s">
        <v>535</v>
      </c>
      <c r="B125" s="19">
        <v>9.0</v>
      </c>
      <c r="C125" s="85"/>
      <c r="D125" s="58">
        <v>0.0</v>
      </c>
      <c r="E125" s="59">
        <f t="shared" si="8"/>
        <v>9</v>
      </c>
      <c r="F125" s="60">
        <v>0.4</v>
      </c>
      <c r="G125" s="61">
        <f t="shared" si="9"/>
        <v>0</v>
      </c>
      <c r="H125" s="62">
        <v>13.0</v>
      </c>
      <c r="I125" s="63">
        <f t="shared" si="10"/>
        <v>117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56" t="s">
        <v>537</v>
      </c>
      <c r="B126" s="19">
        <v>6.0</v>
      </c>
      <c r="C126" s="85"/>
      <c r="D126" s="58">
        <v>0.0</v>
      </c>
      <c r="E126" s="59">
        <f t="shared" si="8"/>
        <v>6</v>
      </c>
      <c r="F126" s="60">
        <v>0.4</v>
      </c>
      <c r="G126" s="61">
        <f t="shared" si="9"/>
        <v>0</v>
      </c>
      <c r="H126" s="62">
        <v>14.0</v>
      </c>
      <c r="I126" s="63">
        <f t="shared" si="10"/>
        <v>84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56" t="s">
        <v>81</v>
      </c>
      <c r="B127" s="19">
        <v>5.0</v>
      </c>
      <c r="C127" s="85"/>
      <c r="D127" s="58">
        <v>0.0</v>
      </c>
      <c r="E127" s="59">
        <f t="shared" si="8"/>
        <v>5</v>
      </c>
      <c r="F127" s="60">
        <v>0.4</v>
      </c>
      <c r="G127" s="61">
        <f t="shared" si="9"/>
        <v>0</v>
      </c>
      <c r="H127" s="62">
        <v>15.0</v>
      </c>
      <c r="I127" s="63">
        <f t="shared" si="10"/>
        <v>75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56" t="s">
        <v>81</v>
      </c>
      <c r="B128" s="19">
        <v>4.0</v>
      </c>
      <c r="C128" s="85"/>
      <c r="D128" s="58">
        <v>0.0</v>
      </c>
      <c r="E128" s="59">
        <f t="shared" si="8"/>
        <v>4</v>
      </c>
      <c r="F128" s="60">
        <v>0.4</v>
      </c>
      <c r="G128" s="61">
        <f t="shared" si="9"/>
        <v>0</v>
      </c>
      <c r="H128" s="62">
        <v>15.0</v>
      </c>
      <c r="I128" s="63">
        <f t="shared" si="10"/>
        <v>60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56" t="s">
        <v>545</v>
      </c>
      <c r="B129" s="19">
        <v>4.0</v>
      </c>
      <c r="C129" s="85"/>
      <c r="D129" s="58">
        <v>0.0</v>
      </c>
      <c r="E129" s="59">
        <f t="shared" si="8"/>
        <v>4</v>
      </c>
      <c r="F129" s="60">
        <v>0.4</v>
      </c>
      <c r="G129" s="61">
        <f t="shared" si="9"/>
        <v>0</v>
      </c>
      <c r="H129" s="62">
        <v>10.0</v>
      </c>
      <c r="I129" s="63">
        <f t="shared" si="10"/>
        <v>40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56" t="s">
        <v>547</v>
      </c>
      <c r="B130" s="19">
        <v>6.0</v>
      </c>
      <c r="C130" s="85"/>
      <c r="D130" s="58">
        <v>0.0</v>
      </c>
      <c r="E130" s="59">
        <f t="shared" si="8"/>
        <v>6</v>
      </c>
      <c r="F130" s="60">
        <v>0.4</v>
      </c>
      <c r="G130" s="61">
        <f t="shared" si="9"/>
        <v>0</v>
      </c>
      <c r="H130" s="62">
        <v>12.0</v>
      </c>
      <c r="I130" s="63">
        <f t="shared" si="10"/>
        <v>72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56" t="s">
        <v>552</v>
      </c>
      <c r="B131" s="19">
        <v>3.0</v>
      </c>
      <c r="C131" s="85"/>
      <c r="D131" s="58">
        <v>0.0</v>
      </c>
      <c r="E131" s="59">
        <f t="shared" si="8"/>
        <v>3</v>
      </c>
      <c r="F131" s="60">
        <v>0.4</v>
      </c>
      <c r="G131" s="61">
        <f t="shared" si="9"/>
        <v>0</v>
      </c>
      <c r="H131" s="62">
        <v>14.0</v>
      </c>
      <c r="I131" s="63">
        <f t="shared" si="10"/>
        <v>42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56" t="s">
        <v>557</v>
      </c>
      <c r="B132" s="88">
        <v>1.0</v>
      </c>
      <c r="C132" s="85"/>
      <c r="D132" s="58">
        <v>0.0</v>
      </c>
      <c r="E132" s="59">
        <f t="shared" si="8"/>
        <v>1</v>
      </c>
      <c r="F132" s="60">
        <v>0.4</v>
      </c>
      <c r="G132" s="61">
        <f t="shared" si="9"/>
        <v>0</v>
      </c>
      <c r="H132" s="62">
        <v>16.0</v>
      </c>
      <c r="I132" s="63">
        <f t="shared" si="10"/>
        <v>16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56" t="s">
        <v>564</v>
      </c>
      <c r="B133" s="88">
        <v>5.0</v>
      </c>
      <c r="C133" s="85"/>
      <c r="D133" s="58">
        <v>0.0</v>
      </c>
      <c r="E133" s="59">
        <f t="shared" si="8"/>
        <v>5</v>
      </c>
      <c r="F133" s="60">
        <v>0.4</v>
      </c>
      <c r="G133" s="61">
        <f t="shared" si="9"/>
        <v>0</v>
      </c>
      <c r="H133" s="62">
        <v>18.0</v>
      </c>
      <c r="I133" s="63">
        <f t="shared" si="10"/>
        <v>90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89" t="s">
        <v>121</v>
      </c>
      <c r="B134" s="88">
        <v>6.0</v>
      </c>
      <c r="C134" s="90"/>
      <c r="D134" s="91"/>
      <c r="E134" s="59">
        <f t="shared" si="8"/>
        <v>6</v>
      </c>
      <c r="F134" s="92">
        <v>0.4</v>
      </c>
      <c r="G134" s="93">
        <f>D134+(D134*F134)</f>
        <v>0</v>
      </c>
      <c r="H134" s="94">
        <v>18.0</v>
      </c>
      <c r="I134" s="95">
        <f t="shared" si="10"/>
        <v>108</v>
      </c>
      <c r="J134" s="96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89" t="s">
        <v>576</v>
      </c>
      <c r="B135" s="88">
        <v>10.0</v>
      </c>
      <c r="C135" s="90"/>
      <c r="D135" s="91"/>
      <c r="E135" s="59">
        <f t="shared" si="8"/>
        <v>10</v>
      </c>
      <c r="F135" s="92">
        <v>0.4</v>
      </c>
      <c r="G135" s="97"/>
      <c r="H135" s="94">
        <v>18.0</v>
      </c>
      <c r="I135" s="95">
        <f t="shared" si="10"/>
        <v>180</v>
      </c>
      <c r="J135" s="96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89" t="s">
        <v>581</v>
      </c>
      <c r="B136" s="88">
        <v>1.0</v>
      </c>
      <c r="C136" s="98" t="s">
        <v>582</v>
      </c>
      <c r="D136" s="91"/>
      <c r="E136" s="59">
        <f t="shared" si="8"/>
        <v>1</v>
      </c>
      <c r="F136" s="97"/>
      <c r="G136" s="99"/>
      <c r="H136" s="100">
        <v>12.0</v>
      </c>
      <c r="I136" s="95">
        <f t="shared" si="10"/>
        <v>12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56" t="s">
        <v>585</v>
      </c>
      <c r="B137" s="19">
        <v>7.0</v>
      </c>
      <c r="C137" s="57">
        <v>5.56</v>
      </c>
      <c r="D137" s="58">
        <v>0.0</v>
      </c>
      <c r="E137" s="59">
        <f t="shared" si="8"/>
        <v>7</v>
      </c>
      <c r="F137" s="60">
        <v>0.5</v>
      </c>
      <c r="G137" s="61">
        <f t="shared" ref="G137:G152" si="11">C137+(C137*F137)</f>
        <v>8.34</v>
      </c>
      <c r="H137" s="81">
        <v>10.0</v>
      </c>
      <c r="I137" s="63">
        <f t="shared" si="10"/>
        <v>70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56" t="s">
        <v>588</v>
      </c>
      <c r="B138" s="19">
        <v>5.0</v>
      </c>
      <c r="C138" s="57">
        <v>6.63</v>
      </c>
      <c r="D138" s="58">
        <v>0.0</v>
      </c>
      <c r="E138" s="59">
        <f t="shared" si="8"/>
        <v>5</v>
      </c>
      <c r="F138" s="60">
        <v>0.5</v>
      </c>
      <c r="G138" s="61">
        <f t="shared" si="11"/>
        <v>9.945</v>
      </c>
      <c r="H138" s="81">
        <v>10.0</v>
      </c>
      <c r="I138" s="63">
        <f t="shared" si="10"/>
        <v>50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56" t="s">
        <v>591</v>
      </c>
      <c r="B139" s="19">
        <v>2.0</v>
      </c>
      <c r="C139" s="57">
        <v>4.85</v>
      </c>
      <c r="D139" s="58">
        <v>0.0</v>
      </c>
      <c r="E139" s="59">
        <f t="shared" si="8"/>
        <v>2</v>
      </c>
      <c r="F139" s="60">
        <v>0.5</v>
      </c>
      <c r="G139" s="61">
        <f t="shared" si="11"/>
        <v>7.275</v>
      </c>
      <c r="H139" s="81">
        <v>9.0</v>
      </c>
      <c r="I139" s="63">
        <f t="shared" si="10"/>
        <v>18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56" t="s">
        <v>593</v>
      </c>
      <c r="B140" s="19">
        <v>3.0</v>
      </c>
      <c r="C140" s="57">
        <v>6.08</v>
      </c>
      <c r="D140" s="58">
        <v>0.0</v>
      </c>
      <c r="E140" s="59">
        <f t="shared" si="8"/>
        <v>3</v>
      </c>
      <c r="F140" s="60">
        <v>0.5</v>
      </c>
      <c r="G140" s="61">
        <f t="shared" si="11"/>
        <v>9.12</v>
      </c>
      <c r="H140" s="81">
        <v>10.0</v>
      </c>
      <c r="I140" s="63">
        <f t="shared" si="10"/>
        <v>30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56" t="s">
        <v>595</v>
      </c>
      <c r="B141" s="19">
        <v>1.0</v>
      </c>
      <c r="C141" s="57">
        <v>6.08</v>
      </c>
      <c r="D141" s="58">
        <v>0.0</v>
      </c>
      <c r="E141" s="59">
        <f t="shared" si="8"/>
        <v>1</v>
      </c>
      <c r="F141" s="60">
        <v>0.5</v>
      </c>
      <c r="G141" s="61">
        <f t="shared" si="11"/>
        <v>9.12</v>
      </c>
      <c r="H141" s="81">
        <v>10.0</v>
      </c>
      <c r="I141" s="63">
        <f t="shared" si="10"/>
        <v>10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56" t="s">
        <v>597</v>
      </c>
      <c r="B142" s="19">
        <v>3.0</v>
      </c>
      <c r="C142" s="57">
        <v>6.08</v>
      </c>
      <c r="D142" s="58">
        <v>0.0</v>
      </c>
      <c r="E142" s="59">
        <f t="shared" si="8"/>
        <v>3</v>
      </c>
      <c r="F142" s="60">
        <v>0.5</v>
      </c>
      <c r="G142" s="61">
        <f t="shared" si="11"/>
        <v>9.12</v>
      </c>
      <c r="H142" s="81">
        <v>10.0</v>
      </c>
      <c r="I142" s="63">
        <f t="shared" si="10"/>
        <v>30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56" t="s">
        <v>599</v>
      </c>
      <c r="B143" s="19">
        <v>4.0</v>
      </c>
      <c r="C143" s="57">
        <v>4.04</v>
      </c>
      <c r="D143" s="58">
        <v>0.0</v>
      </c>
      <c r="E143" s="59">
        <f t="shared" si="8"/>
        <v>4</v>
      </c>
      <c r="F143" s="60">
        <v>0.5</v>
      </c>
      <c r="G143" s="61">
        <f t="shared" si="11"/>
        <v>6.06</v>
      </c>
      <c r="H143" s="81">
        <v>9.0</v>
      </c>
      <c r="I143" s="63">
        <f t="shared" si="10"/>
        <v>36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56" t="s">
        <v>603</v>
      </c>
      <c r="B144" s="19">
        <v>3.0</v>
      </c>
      <c r="C144" s="57">
        <v>4.04</v>
      </c>
      <c r="D144" s="58">
        <v>0.0</v>
      </c>
      <c r="E144" s="59">
        <f t="shared" si="8"/>
        <v>3</v>
      </c>
      <c r="F144" s="60">
        <v>0.5</v>
      </c>
      <c r="G144" s="61">
        <f t="shared" si="11"/>
        <v>6.06</v>
      </c>
      <c r="H144" s="81">
        <v>9.0</v>
      </c>
      <c r="I144" s="63">
        <f t="shared" si="10"/>
        <v>27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56" t="s">
        <v>606</v>
      </c>
      <c r="B145" s="19">
        <v>1.0</v>
      </c>
      <c r="C145" s="57">
        <v>5.8</v>
      </c>
      <c r="D145" s="58">
        <v>0.0</v>
      </c>
      <c r="E145" s="59">
        <f t="shared" si="8"/>
        <v>1</v>
      </c>
      <c r="F145" s="60">
        <v>0.5</v>
      </c>
      <c r="G145" s="61">
        <f t="shared" si="11"/>
        <v>8.7</v>
      </c>
      <c r="H145" s="81">
        <v>9.0</v>
      </c>
      <c r="I145" s="63">
        <f t="shared" si="10"/>
        <v>9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56" t="s">
        <v>596</v>
      </c>
      <c r="B146" s="19">
        <v>3.0</v>
      </c>
      <c r="C146" s="57">
        <v>6.69</v>
      </c>
      <c r="D146" s="58">
        <v>0.0</v>
      </c>
      <c r="E146" s="59">
        <f t="shared" si="8"/>
        <v>3</v>
      </c>
      <c r="F146" s="60">
        <v>0.5</v>
      </c>
      <c r="G146" s="61">
        <f t="shared" si="11"/>
        <v>10.035</v>
      </c>
      <c r="H146" s="81">
        <v>10.0</v>
      </c>
      <c r="I146" s="63">
        <f t="shared" si="10"/>
        <v>30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56" t="s">
        <v>613</v>
      </c>
      <c r="B147" s="19">
        <v>6.0</v>
      </c>
      <c r="C147" s="57">
        <v>6.69</v>
      </c>
      <c r="D147" s="58">
        <v>0.0</v>
      </c>
      <c r="E147" s="59">
        <f t="shared" si="8"/>
        <v>6</v>
      </c>
      <c r="F147" s="60">
        <v>0.5</v>
      </c>
      <c r="G147" s="61">
        <f t="shared" si="11"/>
        <v>10.035</v>
      </c>
      <c r="H147" s="81">
        <v>15.0</v>
      </c>
      <c r="I147" s="63">
        <f t="shared" si="10"/>
        <v>90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56" t="s">
        <v>617</v>
      </c>
      <c r="B148" s="19">
        <v>1.0</v>
      </c>
      <c r="C148" s="57">
        <v>6.69</v>
      </c>
      <c r="D148" s="58">
        <v>0.0</v>
      </c>
      <c r="E148" s="59">
        <f t="shared" si="8"/>
        <v>1</v>
      </c>
      <c r="F148" s="60">
        <v>0.5</v>
      </c>
      <c r="G148" s="61">
        <f t="shared" si="11"/>
        <v>10.035</v>
      </c>
      <c r="H148" s="81">
        <v>15.0</v>
      </c>
      <c r="I148" s="63">
        <f t="shared" si="10"/>
        <v>15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56" t="s">
        <v>602</v>
      </c>
      <c r="B149" s="19">
        <v>2.0</v>
      </c>
      <c r="C149" s="57">
        <v>6.69</v>
      </c>
      <c r="D149" s="58">
        <v>0.0</v>
      </c>
      <c r="E149" s="59">
        <f t="shared" si="8"/>
        <v>2</v>
      </c>
      <c r="F149" s="60">
        <v>0.5</v>
      </c>
      <c r="G149" s="61">
        <f t="shared" si="11"/>
        <v>10.035</v>
      </c>
      <c r="H149" s="81">
        <v>13.0</v>
      </c>
      <c r="I149" s="63">
        <f t="shared" si="10"/>
        <v>26</v>
      </c>
      <c r="J149" s="8"/>
      <c r="K149" s="96"/>
      <c r="L149" s="96"/>
      <c r="M149" s="96"/>
      <c r="N149" s="96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56" t="s">
        <v>625</v>
      </c>
      <c r="B150" s="19">
        <v>3.0</v>
      </c>
      <c r="C150" s="57">
        <v>7.17</v>
      </c>
      <c r="D150" s="58">
        <v>0.0</v>
      </c>
      <c r="E150" s="59">
        <f t="shared" si="8"/>
        <v>3</v>
      </c>
      <c r="F150" s="60">
        <v>0.8</v>
      </c>
      <c r="G150" s="61">
        <f t="shared" si="11"/>
        <v>12.906</v>
      </c>
      <c r="H150" s="62">
        <v>20.0</v>
      </c>
      <c r="I150" s="63">
        <f t="shared" si="10"/>
        <v>60</v>
      </c>
      <c r="J150" s="8"/>
      <c r="K150" s="96"/>
      <c r="L150" s="96"/>
      <c r="M150" s="96"/>
      <c r="N150" s="96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56" t="s">
        <v>627</v>
      </c>
      <c r="B151" s="19">
        <v>9.0</v>
      </c>
      <c r="C151" s="57">
        <v>9.08</v>
      </c>
      <c r="D151" s="58">
        <v>0.0</v>
      </c>
      <c r="E151" s="59">
        <f t="shared" si="8"/>
        <v>9</v>
      </c>
      <c r="F151" s="60">
        <v>0.4</v>
      </c>
      <c r="G151" s="61">
        <f t="shared" si="11"/>
        <v>12.712</v>
      </c>
      <c r="H151" s="62">
        <v>13.0</v>
      </c>
      <c r="I151" s="63">
        <f t="shared" si="10"/>
        <v>117</v>
      </c>
      <c r="J151" s="8" t="s">
        <v>477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56" t="s">
        <v>630</v>
      </c>
      <c r="B152" s="19">
        <v>5.0</v>
      </c>
      <c r="C152" s="57">
        <v>20.89</v>
      </c>
      <c r="D152" s="58">
        <v>0.0</v>
      </c>
      <c r="E152" s="59">
        <f t="shared" si="8"/>
        <v>5</v>
      </c>
      <c r="F152" s="60">
        <v>0.4</v>
      </c>
      <c r="G152" s="61">
        <f t="shared" si="11"/>
        <v>29.246</v>
      </c>
      <c r="H152" s="62">
        <v>30.0</v>
      </c>
      <c r="I152" s="63">
        <f t="shared" si="10"/>
        <v>150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02"/>
      <c r="B153" s="19">
        <f>SUM(B78:B152)</f>
        <v>349</v>
      </c>
      <c r="C153" s="103"/>
      <c r="D153" s="103"/>
      <c r="E153" s="103"/>
      <c r="F153" s="103"/>
      <c r="G153" s="103"/>
      <c r="H153" s="103"/>
      <c r="I153" s="50">
        <f>SUM(I78:I152)</f>
        <v>4151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02"/>
      <c r="B154" s="103"/>
      <c r="C154" s="103"/>
      <c r="D154" s="103"/>
      <c r="E154" s="103"/>
      <c r="F154" s="103"/>
      <c r="G154" s="103"/>
      <c r="H154" s="103"/>
      <c r="I154" s="10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2" t="s">
        <v>632</v>
      </c>
      <c r="B155" s="4"/>
      <c r="C155" s="4"/>
      <c r="D155" s="4"/>
      <c r="E155" s="4"/>
      <c r="F155" s="4"/>
      <c r="G155" s="4"/>
      <c r="H155" s="4"/>
      <c r="I155" s="6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56" t="s">
        <v>633</v>
      </c>
      <c r="B156" s="19">
        <v>5.0</v>
      </c>
      <c r="C156" s="85"/>
      <c r="D156" s="58">
        <v>0.0</v>
      </c>
      <c r="E156" s="59">
        <f t="shared" ref="E156:E166" si="12">+B156-D156</f>
        <v>5</v>
      </c>
      <c r="F156" s="60">
        <v>0.3</v>
      </c>
      <c r="G156" s="61">
        <f t="shared" ref="G156:G166" si="13">C156+(C156*F156)</f>
        <v>0</v>
      </c>
      <c r="H156" s="81">
        <v>8.0</v>
      </c>
      <c r="I156" s="63">
        <f t="shared" ref="I156:I166" si="14">+E156*H156</f>
        <v>40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56" t="s">
        <v>636</v>
      </c>
      <c r="B157" s="19">
        <v>2.0</v>
      </c>
      <c r="C157" s="85"/>
      <c r="D157" s="58">
        <v>0.0</v>
      </c>
      <c r="E157" s="59">
        <f t="shared" si="12"/>
        <v>2</v>
      </c>
      <c r="F157" s="60">
        <v>0.3</v>
      </c>
      <c r="G157" s="61">
        <f t="shared" si="13"/>
        <v>0</v>
      </c>
      <c r="H157" s="81">
        <v>8.0</v>
      </c>
      <c r="I157" s="63">
        <f t="shared" si="14"/>
        <v>16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56" t="s">
        <v>639</v>
      </c>
      <c r="B158" s="19">
        <v>1.0</v>
      </c>
      <c r="C158" s="85"/>
      <c r="D158" s="58">
        <v>0.0</v>
      </c>
      <c r="E158" s="59">
        <f t="shared" si="12"/>
        <v>1</v>
      </c>
      <c r="F158" s="60">
        <v>0.3</v>
      </c>
      <c r="G158" s="61">
        <f t="shared" si="13"/>
        <v>0</v>
      </c>
      <c r="H158" s="81">
        <v>8.0</v>
      </c>
      <c r="I158" s="63">
        <f t="shared" si="14"/>
        <v>8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56" t="s">
        <v>641</v>
      </c>
      <c r="B159" s="19">
        <v>1.0</v>
      </c>
      <c r="C159" s="85"/>
      <c r="D159" s="58">
        <v>0.0</v>
      </c>
      <c r="E159" s="59">
        <f t="shared" si="12"/>
        <v>1</v>
      </c>
      <c r="F159" s="60">
        <v>0.3</v>
      </c>
      <c r="G159" s="61">
        <f t="shared" si="13"/>
        <v>0</v>
      </c>
      <c r="H159" s="81">
        <v>8.0</v>
      </c>
      <c r="I159" s="63">
        <f t="shared" si="14"/>
        <v>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56" t="s">
        <v>644</v>
      </c>
      <c r="B160" s="19">
        <v>5.0</v>
      </c>
      <c r="C160" s="85"/>
      <c r="D160" s="58">
        <v>0.0</v>
      </c>
      <c r="E160" s="59">
        <f t="shared" si="12"/>
        <v>5</v>
      </c>
      <c r="F160" s="60">
        <v>0.3</v>
      </c>
      <c r="G160" s="61">
        <f t="shared" si="13"/>
        <v>0</v>
      </c>
      <c r="H160" s="81">
        <v>8.0</v>
      </c>
      <c r="I160" s="63">
        <f t="shared" si="14"/>
        <v>40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56" t="s">
        <v>647</v>
      </c>
      <c r="B161" s="19">
        <v>2.0</v>
      </c>
      <c r="C161" s="85"/>
      <c r="D161" s="58">
        <v>0.0</v>
      </c>
      <c r="E161" s="59">
        <f t="shared" si="12"/>
        <v>2</v>
      </c>
      <c r="F161" s="60">
        <v>0.3</v>
      </c>
      <c r="G161" s="61">
        <f t="shared" si="13"/>
        <v>0</v>
      </c>
      <c r="H161" s="81">
        <v>20.0</v>
      </c>
      <c r="I161" s="63">
        <f t="shared" si="14"/>
        <v>40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56" t="s">
        <v>650</v>
      </c>
      <c r="B162" s="19">
        <v>1.0</v>
      </c>
      <c r="C162" s="85"/>
      <c r="D162" s="58">
        <v>0.0</v>
      </c>
      <c r="E162" s="59">
        <f t="shared" si="12"/>
        <v>1</v>
      </c>
      <c r="F162" s="60">
        <v>0.3</v>
      </c>
      <c r="G162" s="61">
        <f t="shared" si="13"/>
        <v>0</v>
      </c>
      <c r="H162" s="81">
        <v>20.0</v>
      </c>
      <c r="I162" s="63">
        <f t="shared" si="14"/>
        <v>20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56" t="s">
        <v>653</v>
      </c>
      <c r="B163" s="19">
        <v>2.0</v>
      </c>
      <c r="C163" s="85"/>
      <c r="D163" s="58">
        <v>0.0</v>
      </c>
      <c r="E163" s="59">
        <f t="shared" si="12"/>
        <v>2</v>
      </c>
      <c r="F163" s="60">
        <v>0.4</v>
      </c>
      <c r="G163" s="61">
        <f t="shared" si="13"/>
        <v>0</v>
      </c>
      <c r="H163" s="81">
        <v>12.0</v>
      </c>
      <c r="I163" s="63">
        <f t="shared" si="14"/>
        <v>24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56" t="s">
        <v>655</v>
      </c>
      <c r="B164" s="19">
        <v>2.0</v>
      </c>
      <c r="C164" s="85"/>
      <c r="D164" s="58">
        <v>0.0</v>
      </c>
      <c r="E164" s="59">
        <f t="shared" si="12"/>
        <v>2</v>
      </c>
      <c r="F164" s="60">
        <v>0.4</v>
      </c>
      <c r="G164" s="61">
        <f t="shared" si="13"/>
        <v>0</v>
      </c>
      <c r="H164" s="81">
        <v>12.0</v>
      </c>
      <c r="I164" s="63">
        <f t="shared" si="14"/>
        <v>24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56" t="s">
        <v>659</v>
      </c>
      <c r="B165" s="19">
        <v>2.0</v>
      </c>
      <c r="C165" s="85"/>
      <c r="D165" s="58">
        <v>0.0</v>
      </c>
      <c r="E165" s="59">
        <f t="shared" si="12"/>
        <v>2</v>
      </c>
      <c r="F165" s="60">
        <v>0.4</v>
      </c>
      <c r="G165" s="61">
        <f t="shared" si="13"/>
        <v>0</v>
      </c>
      <c r="H165" s="81">
        <v>12.0</v>
      </c>
      <c r="I165" s="63">
        <f t="shared" si="14"/>
        <v>24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56" t="s">
        <v>661</v>
      </c>
      <c r="B166" s="19">
        <v>1.0</v>
      </c>
      <c r="C166" s="85"/>
      <c r="D166" s="58">
        <v>0.0</v>
      </c>
      <c r="E166" s="59">
        <f t="shared" si="12"/>
        <v>1</v>
      </c>
      <c r="F166" s="60">
        <v>0.3</v>
      </c>
      <c r="G166" s="61">
        <f t="shared" si="13"/>
        <v>0</v>
      </c>
      <c r="H166" s="104">
        <v>12.0</v>
      </c>
      <c r="I166" s="63">
        <f t="shared" si="14"/>
        <v>12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02"/>
      <c r="B167" s="19">
        <f>SUM(B156:B166)</f>
        <v>24</v>
      </c>
      <c r="C167" s="103"/>
      <c r="D167" s="103"/>
      <c r="E167" s="103"/>
      <c r="F167" s="103"/>
      <c r="G167" s="103"/>
      <c r="H167" s="103"/>
      <c r="I167" s="50">
        <f>SUM(I156:I166)</f>
        <v>256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02"/>
      <c r="B168" s="110"/>
      <c r="C168" s="103"/>
      <c r="D168" s="103"/>
      <c r="E168" s="103"/>
      <c r="F168" s="103"/>
      <c r="G168" s="103"/>
      <c r="H168" s="103"/>
      <c r="I168" s="7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2" t="s">
        <v>666</v>
      </c>
      <c r="B169" s="4"/>
      <c r="C169" s="4"/>
      <c r="D169" s="4"/>
      <c r="E169" s="4"/>
      <c r="F169" s="4"/>
      <c r="G169" s="4"/>
      <c r="H169" s="4"/>
      <c r="I169" s="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56" t="s">
        <v>196</v>
      </c>
      <c r="B170" s="19">
        <v>3.0</v>
      </c>
      <c r="C170" s="85"/>
      <c r="D170" s="58">
        <v>0.0</v>
      </c>
      <c r="E170" s="59">
        <f t="shared" ref="E170:E176" si="15">+B170-D170</f>
        <v>3</v>
      </c>
      <c r="F170" s="60">
        <v>0.3</v>
      </c>
      <c r="G170" s="61">
        <f t="shared" ref="G170:G176" si="16">C170+(C170*F170)</f>
        <v>0</v>
      </c>
      <c r="H170" s="81">
        <v>12.0</v>
      </c>
      <c r="I170" s="63">
        <f t="shared" ref="I170:I176" si="17">+E170*H170</f>
        <v>36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56" t="s">
        <v>198</v>
      </c>
      <c r="B171" s="19">
        <v>2.0</v>
      </c>
      <c r="C171" s="85"/>
      <c r="D171" s="58">
        <v>0.0</v>
      </c>
      <c r="E171" s="59">
        <f t="shared" si="15"/>
        <v>2</v>
      </c>
      <c r="F171" s="60">
        <v>0.3</v>
      </c>
      <c r="G171" s="61">
        <f t="shared" si="16"/>
        <v>0</v>
      </c>
      <c r="H171" s="81">
        <v>12.0</v>
      </c>
      <c r="I171" s="63">
        <f t="shared" si="17"/>
        <v>24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56" t="s">
        <v>201</v>
      </c>
      <c r="B172" s="19">
        <v>2.0</v>
      </c>
      <c r="C172" s="85"/>
      <c r="D172" s="58">
        <v>0.0</v>
      </c>
      <c r="E172" s="59">
        <f t="shared" si="15"/>
        <v>2</v>
      </c>
      <c r="F172" s="60">
        <v>0.3</v>
      </c>
      <c r="G172" s="61">
        <f t="shared" si="16"/>
        <v>0</v>
      </c>
      <c r="H172" s="81">
        <v>12.0</v>
      </c>
      <c r="I172" s="63">
        <f t="shared" si="17"/>
        <v>24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56" t="s">
        <v>203</v>
      </c>
      <c r="B173" s="19">
        <v>2.0</v>
      </c>
      <c r="C173" s="85"/>
      <c r="D173" s="58">
        <v>0.0</v>
      </c>
      <c r="E173" s="59">
        <f t="shared" si="15"/>
        <v>2</v>
      </c>
      <c r="F173" s="60">
        <v>0.3</v>
      </c>
      <c r="G173" s="61">
        <f t="shared" si="16"/>
        <v>0</v>
      </c>
      <c r="H173" s="81">
        <v>12.0</v>
      </c>
      <c r="I173" s="63">
        <f t="shared" si="17"/>
        <v>24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56" t="s">
        <v>205</v>
      </c>
      <c r="B174" s="19">
        <v>1.0</v>
      </c>
      <c r="C174" s="85"/>
      <c r="D174" s="58">
        <v>0.0</v>
      </c>
      <c r="E174" s="59">
        <f t="shared" si="15"/>
        <v>1</v>
      </c>
      <c r="F174" s="60">
        <v>0.3</v>
      </c>
      <c r="G174" s="61">
        <f t="shared" si="16"/>
        <v>0</v>
      </c>
      <c r="H174" s="81">
        <v>12.0</v>
      </c>
      <c r="I174" s="63">
        <f t="shared" si="17"/>
        <v>12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56" t="s">
        <v>207</v>
      </c>
      <c r="B175" s="19">
        <v>6.0</v>
      </c>
      <c r="C175" s="85"/>
      <c r="D175" s="58">
        <v>0.0</v>
      </c>
      <c r="E175" s="59">
        <f t="shared" si="15"/>
        <v>6</v>
      </c>
      <c r="F175" s="60">
        <v>0.3</v>
      </c>
      <c r="G175" s="61">
        <f t="shared" si="16"/>
        <v>0</v>
      </c>
      <c r="H175" s="81">
        <v>12.0</v>
      </c>
      <c r="I175" s="63">
        <f t="shared" si="17"/>
        <v>72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56" t="s">
        <v>209</v>
      </c>
      <c r="B176" s="19">
        <v>5.0</v>
      </c>
      <c r="C176" s="85"/>
      <c r="D176" s="58">
        <v>0.0</v>
      </c>
      <c r="E176" s="59">
        <f t="shared" si="15"/>
        <v>5</v>
      </c>
      <c r="F176" s="60">
        <v>0.3</v>
      </c>
      <c r="G176" s="61">
        <f t="shared" si="16"/>
        <v>0</v>
      </c>
      <c r="H176" s="81">
        <v>12.0</v>
      </c>
      <c r="I176" s="63">
        <f t="shared" si="17"/>
        <v>60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02"/>
      <c r="B177" s="19">
        <f>SUM(B170:B176)</f>
        <v>21</v>
      </c>
      <c r="C177" s="103"/>
      <c r="D177" s="103"/>
      <c r="E177" s="103"/>
      <c r="F177" s="103"/>
      <c r="G177" s="103"/>
      <c r="H177" s="103"/>
      <c r="I177" s="50">
        <f>SUM(I166:I176)</f>
        <v>520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02"/>
      <c r="B178" s="110"/>
      <c r="C178" s="103"/>
      <c r="D178" s="103"/>
      <c r="E178" s="103"/>
      <c r="F178" s="103"/>
      <c r="G178" s="103"/>
      <c r="H178" s="103"/>
      <c r="I178" s="7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2" t="s">
        <v>687</v>
      </c>
      <c r="B179" s="4"/>
      <c r="C179" s="4"/>
      <c r="D179" s="4"/>
      <c r="E179" s="4"/>
      <c r="F179" s="4"/>
      <c r="G179" s="4"/>
      <c r="H179" s="4"/>
      <c r="I179" s="6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56" t="s">
        <v>689</v>
      </c>
      <c r="B180" s="19">
        <v>3.0</v>
      </c>
      <c r="C180" s="57">
        <v>6.0</v>
      </c>
      <c r="D180" s="58">
        <v>0.0</v>
      </c>
      <c r="E180" s="59">
        <f t="shared" ref="E180:E231" si="18">+B180-D180</f>
        <v>3</v>
      </c>
      <c r="F180" s="60">
        <v>0.3</v>
      </c>
      <c r="G180" s="61">
        <f t="shared" ref="G180:G217" si="19">C180+(C180*F180)</f>
        <v>7.8</v>
      </c>
      <c r="H180" s="81">
        <v>9.0</v>
      </c>
      <c r="I180" s="63">
        <f t="shared" ref="I180:I231" si="20">+E180*H180</f>
        <v>27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56" t="s">
        <v>693</v>
      </c>
      <c r="B181" s="19">
        <v>4.0</v>
      </c>
      <c r="C181" s="57">
        <v>7.5</v>
      </c>
      <c r="D181" s="58">
        <v>0.0</v>
      </c>
      <c r="E181" s="59">
        <f t="shared" si="18"/>
        <v>4</v>
      </c>
      <c r="F181" s="60">
        <v>0.3</v>
      </c>
      <c r="G181" s="61">
        <f t="shared" si="19"/>
        <v>9.75</v>
      </c>
      <c r="H181" s="81">
        <v>13.0</v>
      </c>
      <c r="I181" s="63">
        <f t="shared" si="20"/>
        <v>52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56" t="s">
        <v>696</v>
      </c>
      <c r="B182" s="19">
        <v>2.0</v>
      </c>
      <c r="C182" s="57">
        <v>9.1</v>
      </c>
      <c r="D182" s="58">
        <v>0.0</v>
      </c>
      <c r="E182" s="59">
        <f t="shared" si="18"/>
        <v>2</v>
      </c>
      <c r="F182" s="60">
        <v>0.4</v>
      </c>
      <c r="G182" s="61">
        <f t="shared" si="19"/>
        <v>12.74</v>
      </c>
      <c r="H182" s="81">
        <v>13.0</v>
      </c>
      <c r="I182" s="63">
        <f t="shared" si="20"/>
        <v>26</v>
      </c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>
      <c r="A183" s="56" t="s">
        <v>700</v>
      </c>
      <c r="B183" s="19">
        <v>3.0</v>
      </c>
      <c r="C183" s="57">
        <v>9.17</v>
      </c>
      <c r="D183" s="58">
        <v>0.0</v>
      </c>
      <c r="E183" s="59">
        <f t="shared" si="18"/>
        <v>3</v>
      </c>
      <c r="F183" s="60">
        <v>0.4</v>
      </c>
      <c r="G183" s="61">
        <f t="shared" si="19"/>
        <v>12.838</v>
      </c>
      <c r="H183" s="62">
        <v>13.0</v>
      </c>
      <c r="I183" s="63">
        <f t="shared" si="20"/>
        <v>39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56" t="s">
        <v>703</v>
      </c>
      <c r="B184" s="19">
        <v>10.0</v>
      </c>
      <c r="C184" s="57">
        <v>9.17</v>
      </c>
      <c r="D184" s="58">
        <v>0.0</v>
      </c>
      <c r="E184" s="59">
        <f t="shared" si="18"/>
        <v>10</v>
      </c>
      <c r="F184" s="60">
        <v>0.4</v>
      </c>
      <c r="G184" s="61">
        <f t="shared" si="19"/>
        <v>12.838</v>
      </c>
      <c r="H184" s="62">
        <v>13.0</v>
      </c>
      <c r="I184" s="63">
        <f t="shared" si="20"/>
        <v>130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56" t="s">
        <v>708</v>
      </c>
      <c r="B185" s="19">
        <v>6.0</v>
      </c>
      <c r="C185" s="57">
        <v>9.17</v>
      </c>
      <c r="D185" s="58">
        <v>0.0</v>
      </c>
      <c r="E185" s="59">
        <f t="shared" si="18"/>
        <v>6</v>
      </c>
      <c r="F185" s="60">
        <v>0.4</v>
      </c>
      <c r="G185" s="61">
        <f t="shared" si="19"/>
        <v>12.838</v>
      </c>
      <c r="H185" s="62">
        <v>13.0</v>
      </c>
      <c r="I185" s="63">
        <f t="shared" si="20"/>
        <v>78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56" t="s">
        <v>712</v>
      </c>
      <c r="B186" s="19">
        <v>3.0</v>
      </c>
      <c r="C186" s="57">
        <v>9.17</v>
      </c>
      <c r="D186" s="58">
        <v>0.0</v>
      </c>
      <c r="E186" s="59">
        <f t="shared" si="18"/>
        <v>3</v>
      </c>
      <c r="F186" s="60">
        <v>0.4</v>
      </c>
      <c r="G186" s="61">
        <f t="shared" si="19"/>
        <v>12.838</v>
      </c>
      <c r="H186" s="62">
        <v>14.0</v>
      </c>
      <c r="I186" s="63">
        <f t="shared" si="20"/>
        <v>42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56" t="s">
        <v>715</v>
      </c>
      <c r="B187" s="19">
        <v>4.0</v>
      </c>
      <c r="C187" s="57">
        <v>9.17</v>
      </c>
      <c r="D187" s="58">
        <v>0.0</v>
      </c>
      <c r="E187" s="59">
        <f t="shared" si="18"/>
        <v>4</v>
      </c>
      <c r="F187" s="60">
        <v>0.4</v>
      </c>
      <c r="G187" s="61">
        <f t="shared" si="19"/>
        <v>12.838</v>
      </c>
      <c r="H187" s="81">
        <v>13.0</v>
      </c>
      <c r="I187" s="63">
        <f t="shared" si="20"/>
        <v>52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56" t="s">
        <v>718</v>
      </c>
      <c r="B188" s="19">
        <v>33.0</v>
      </c>
      <c r="C188" s="57">
        <v>9.17</v>
      </c>
      <c r="D188" s="58">
        <v>0.0</v>
      </c>
      <c r="E188" s="59">
        <f t="shared" si="18"/>
        <v>33</v>
      </c>
      <c r="F188" s="60">
        <v>0.4</v>
      </c>
      <c r="G188" s="61">
        <f t="shared" si="19"/>
        <v>12.838</v>
      </c>
      <c r="H188" s="62">
        <v>3.0</v>
      </c>
      <c r="I188" s="63">
        <f t="shared" si="20"/>
        <v>99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56" t="s">
        <v>721</v>
      </c>
      <c r="B189" s="19">
        <v>16.0</v>
      </c>
      <c r="C189" s="57">
        <v>1.5</v>
      </c>
      <c r="D189" s="58">
        <v>0.0</v>
      </c>
      <c r="E189" s="59">
        <f t="shared" si="18"/>
        <v>16</v>
      </c>
      <c r="F189" s="60">
        <v>0.4</v>
      </c>
      <c r="G189" s="61">
        <f t="shared" si="19"/>
        <v>2.1</v>
      </c>
      <c r="H189" s="62">
        <v>2.0</v>
      </c>
      <c r="I189" s="63">
        <f t="shared" si="20"/>
        <v>32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56" t="s">
        <v>726</v>
      </c>
      <c r="B190" s="19">
        <v>10.0</v>
      </c>
      <c r="C190" s="57">
        <v>9.17</v>
      </c>
      <c r="D190" s="58">
        <v>0.0</v>
      </c>
      <c r="E190" s="59">
        <f t="shared" si="18"/>
        <v>10</v>
      </c>
      <c r="F190" s="60">
        <v>0.4</v>
      </c>
      <c r="G190" s="61">
        <f t="shared" si="19"/>
        <v>12.838</v>
      </c>
      <c r="H190" s="62">
        <v>2.0</v>
      </c>
      <c r="I190" s="63">
        <f t="shared" si="20"/>
        <v>20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56" t="s">
        <v>729</v>
      </c>
      <c r="B191" s="19">
        <v>40.0</v>
      </c>
      <c r="C191" s="57">
        <v>3.65</v>
      </c>
      <c r="D191" s="58">
        <v>0.0</v>
      </c>
      <c r="E191" s="59">
        <f t="shared" si="18"/>
        <v>40</v>
      </c>
      <c r="F191" s="60">
        <v>0.8</v>
      </c>
      <c r="G191" s="61">
        <f t="shared" si="19"/>
        <v>6.57</v>
      </c>
      <c r="H191" s="62">
        <v>7.0</v>
      </c>
      <c r="I191" s="63">
        <f t="shared" si="20"/>
        <v>280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56" t="s">
        <v>734</v>
      </c>
      <c r="B192" s="19">
        <v>1.0</v>
      </c>
      <c r="C192" s="57">
        <v>3.65</v>
      </c>
      <c r="D192" s="58">
        <v>0.0</v>
      </c>
      <c r="E192" s="59">
        <f t="shared" si="18"/>
        <v>1</v>
      </c>
      <c r="F192" s="60">
        <v>0.8</v>
      </c>
      <c r="G192" s="61">
        <f t="shared" si="19"/>
        <v>6.57</v>
      </c>
      <c r="H192" s="62">
        <v>7.0</v>
      </c>
      <c r="I192" s="63">
        <f t="shared" si="20"/>
        <v>7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56" t="s">
        <v>739</v>
      </c>
      <c r="B193" s="19">
        <v>4.0</v>
      </c>
      <c r="C193" s="57">
        <v>2.0</v>
      </c>
      <c r="D193" s="58">
        <v>0.0</v>
      </c>
      <c r="E193" s="59">
        <f t="shared" si="18"/>
        <v>4</v>
      </c>
      <c r="F193" s="60">
        <v>0.4</v>
      </c>
      <c r="G193" s="61">
        <f t="shared" si="19"/>
        <v>2.8</v>
      </c>
      <c r="H193" s="62">
        <v>3.5</v>
      </c>
      <c r="I193" s="63">
        <f t="shared" si="20"/>
        <v>14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56" t="s">
        <v>741</v>
      </c>
      <c r="B194" s="19">
        <v>3.0</v>
      </c>
      <c r="C194" s="57">
        <v>2.0</v>
      </c>
      <c r="D194" s="58">
        <v>0.0</v>
      </c>
      <c r="E194" s="59">
        <f t="shared" si="18"/>
        <v>3</v>
      </c>
      <c r="F194" s="60">
        <v>0.4</v>
      </c>
      <c r="G194" s="61">
        <f t="shared" si="19"/>
        <v>2.8</v>
      </c>
      <c r="H194" s="62">
        <v>3.0</v>
      </c>
      <c r="I194" s="63">
        <f t="shared" si="20"/>
        <v>9</v>
      </c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>
      <c r="A195" s="56" t="s">
        <v>741</v>
      </c>
      <c r="B195" s="19">
        <v>6.0</v>
      </c>
      <c r="C195" s="57">
        <v>2.0</v>
      </c>
      <c r="D195" s="58">
        <v>0.0</v>
      </c>
      <c r="E195" s="59">
        <f t="shared" si="18"/>
        <v>6</v>
      </c>
      <c r="F195" s="60">
        <v>0.4</v>
      </c>
      <c r="G195" s="61">
        <f t="shared" si="19"/>
        <v>2.8</v>
      </c>
      <c r="H195" s="62">
        <v>2.5</v>
      </c>
      <c r="I195" s="63">
        <f t="shared" si="20"/>
        <v>15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56" t="s">
        <v>748</v>
      </c>
      <c r="B196" s="19">
        <v>11.0</v>
      </c>
      <c r="C196" s="57">
        <v>2.0</v>
      </c>
      <c r="D196" s="58">
        <v>0.0</v>
      </c>
      <c r="E196" s="59">
        <f t="shared" si="18"/>
        <v>11</v>
      </c>
      <c r="F196" s="60">
        <v>0.4</v>
      </c>
      <c r="G196" s="61">
        <f t="shared" si="19"/>
        <v>2.8</v>
      </c>
      <c r="H196" s="62">
        <v>2.0</v>
      </c>
      <c r="I196" s="63">
        <f t="shared" si="20"/>
        <v>22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56" t="s">
        <v>645</v>
      </c>
      <c r="B197" s="19">
        <v>1.0</v>
      </c>
      <c r="C197" s="57">
        <v>2.0</v>
      </c>
      <c r="D197" s="58">
        <v>0.0</v>
      </c>
      <c r="E197" s="59">
        <f t="shared" si="18"/>
        <v>1</v>
      </c>
      <c r="F197" s="60">
        <v>0.8</v>
      </c>
      <c r="G197" s="61">
        <f t="shared" si="19"/>
        <v>3.6</v>
      </c>
      <c r="H197" s="62">
        <v>1.0</v>
      </c>
      <c r="I197" s="63">
        <f t="shared" si="20"/>
        <v>1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56" t="s">
        <v>755</v>
      </c>
      <c r="B198" s="19">
        <v>3.0</v>
      </c>
      <c r="C198" s="57">
        <v>2.0</v>
      </c>
      <c r="D198" s="58">
        <v>0.0</v>
      </c>
      <c r="E198" s="59">
        <f t="shared" si="18"/>
        <v>3</v>
      </c>
      <c r="F198" s="60">
        <v>0.8</v>
      </c>
      <c r="G198" s="61">
        <f t="shared" si="19"/>
        <v>3.6</v>
      </c>
      <c r="H198" s="62">
        <v>12.0</v>
      </c>
      <c r="I198" s="63">
        <f t="shared" si="20"/>
        <v>36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56" t="s">
        <v>758</v>
      </c>
      <c r="B199" s="19">
        <v>3.0</v>
      </c>
      <c r="C199" s="57">
        <v>2.0</v>
      </c>
      <c r="D199" s="58">
        <v>0.0</v>
      </c>
      <c r="E199" s="59">
        <f t="shared" si="18"/>
        <v>3</v>
      </c>
      <c r="F199" s="60">
        <v>0.8</v>
      </c>
      <c r="G199" s="61">
        <f t="shared" si="19"/>
        <v>3.6</v>
      </c>
      <c r="H199" s="62">
        <v>12.0</v>
      </c>
      <c r="I199" s="63">
        <f t="shared" si="20"/>
        <v>36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56" t="s">
        <v>763</v>
      </c>
      <c r="B200" s="19">
        <v>3.0</v>
      </c>
      <c r="C200" s="57">
        <v>2.0</v>
      </c>
      <c r="D200" s="58">
        <v>0.0</v>
      </c>
      <c r="E200" s="59">
        <f t="shared" si="18"/>
        <v>3</v>
      </c>
      <c r="F200" s="60">
        <v>0.8</v>
      </c>
      <c r="G200" s="61">
        <f t="shared" si="19"/>
        <v>3.6</v>
      </c>
      <c r="H200" s="62">
        <v>10.0</v>
      </c>
      <c r="I200" s="63">
        <f t="shared" si="20"/>
        <v>30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56" t="s">
        <v>768</v>
      </c>
      <c r="B201" s="19">
        <v>2.0</v>
      </c>
      <c r="C201" s="57">
        <v>2.0</v>
      </c>
      <c r="D201" s="58">
        <v>0.0</v>
      </c>
      <c r="E201" s="59">
        <f t="shared" si="18"/>
        <v>2</v>
      </c>
      <c r="F201" s="60">
        <v>0.8</v>
      </c>
      <c r="G201" s="61">
        <f t="shared" si="19"/>
        <v>3.6</v>
      </c>
      <c r="H201" s="62">
        <v>14.0</v>
      </c>
      <c r="I201" s="63">
        <f t="shared" si="20"/>
        <v>28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56" t="s">
        <v>770</v>
      </c>
      <c r="B202" s="19">
        <v>2.0</v>
      </c>
      <c r="C202" s="57">
        <v>2.0</v>
      </c>
      <c r="D202" s="58">
        <v>0.0</v>
      </c>
      <c r="E202" s="59">
        <f t="shared" si="18"/>
        <v>2</v>
      </c>
      <c r="F202" s="60">
        <v>0.8</v>
      </c>
      <c r="G202" s="61">
        <f t="shared" si="19"/>
        <v>3.6</v>
      </c>
      <c r="H202" s="62">
        <v>12.0</v>
      </c>
      <c r="I202" s="63">
        <f t="shared" si="20"/>
        <v>24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56" t="s">
        <v>773</v>
      </c>
      <c r="B203" s="19">
        <v>2.0</v>
      </c>
      <c r="C203" s="57">
        <v>2.0</v>
      </c>
      <c r="D203" s="58">
        <v>0.0</v>
      </c>
      <c r="E203" s="59">
        <f t="shared" si="18"/>
        <v>2</v>
      </c>
      <c r="F203" s="60">
        <v>0.8</v>
      </c>
      <c r="G203" s="61">
        <f t="shared" si="19"/>
        <v>3.6</v>
      </c>
      <c r="H203" s="62">
        <v>12.0</v>
      </c>
      <c r="I203" s="63">
        <f t="shared" si="20"/>
        <v>24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56" t="s">
        <v>776</v>
      </c>
      <c r="B204" s="19">
        <v>2.0</v>
      </c>
      <c r="C204" s="57">
        <v>2.0</v>
      </c>
      <c r="D204" s="58">
        <v>0.0</v>
      </c>
      <c r="E204" s="59">
        <f t="shared" si="18"/>
        <v>2</v>
      </c>
      <c r="F204" s="60">
        <v>0.8</v>
      </c>
      <c r="G204" s="61">
        <f t="shared" si="19"/>
        <v>3.6</v>
      </c>
      <c r="H204" s="62">
        <v>12.0</v>
      </c>
      <c r="I204" s="63">
        <f t="shared" si="20"/>
        <v>24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56" t="s">
        <v>781</v>
      </c>
      <c r="B205" s="19">
        <v>2.0</v>
      </c>
      <c r="C205" s="57">
        <v>2.0</v>
      </c>
      <c r="D205" s="58">
        <v>0.0</v>
      </c>
      <c r="E205" s="59">
        <f t="shared" si="18"/>
        <v>2</v>
      </c>
      <c r="F205" s="60">
        <v>0.8</v>
      </c>
      <c r="G205" s="61">
        <f t="shared" si="19"/>
        <v>3.6</v>
      </c>
      <c r="H205" s="62">
        <v>16.0</v>
      </c>
      <c r="I205" s="63">
        <f t="shared" si="20"/>
        <v>32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56" t="s">
        <v>783</v>
      </c>
      <c r="B206" s="19">
        <v>2.0</v>
      </c>
      <c r="C206" s="57">
        <v>2.0</v>
      </c>
      <c r="D206" s="58">
        <v>0.0</v>
      </c>
      <c r="E206" s="59">
        <f t="shared" si="18"/>
        <v>2</v>
      </c>
      <c r="F206" s="60">
        <v>0.8</v>
      </c>
      <c r="G206" s="61">
        <f t="shared" si="19"/>
        <v>3.6</v>
      </c>
      <c r="H206" s="62">
        <v>21.0</v>
      </c>
      <c r="I206" s="63">
        <f t="shared" si="20"/>
        <v>42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56" t="s">
        <v>785</v>
      </c>
      <c r="B207" s="19">
        <v>1.0</v>
      </c>
      <c r="C207" s="57">
        <v>2.0</v>
      </c>
      <c r="D207" s="58">
        <v>0.0</v>
      </c>
      <c r="E207" s="59">
        <f t="shared" si="18"/>
        <v>1</v>
      </c>
      <c r="F207" s="60">
        <v>0.8</v>
      </c>
      <c r="G207" s="61">
        <f t="shared" si="19"/>
        <v>3.6</v>
      </c>
      <c r="H207" s="62">
        <v>21.0</v>
      </c>
      <c r="I207" s="63">
        <f t="shared" si="20"/>
        <v>21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56" t="s">
        <v>788</v>
      </c>
      <c r="B208" s="19">
        <v>2.0</v>
      </c>
      <c r="C208" s="57">
        <v>2.0</v>
      </c>
      <c r="D208" s="58">
        <v>0.0</v>
      </c>
      <c r="E208" s="59">
        <f t="shared" si="18"/>
        <v>2</v>
      </c>
      <c r="F208" s="60">
        <v>0.8</v>
      </c>
      <c r="G208" s="61">
        <f t="shared" si="19"/>
        <v>3.6</v>
      </c>
      <c r="H208" s="62">
        <v>11.0</v>
      </c>
      <c r="I208" s="63">
        <f t="shared" si="20"/>
        <v>22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56" t="s">
        <v>790</v>
      </c>
      <c r="B209" s="19">
        <v>2.0</v>
      </c>
      <c r="C209" s="57">
        <v>2.0</v>
      </c>
      <c r="D209" s="58">
        <v>0.0</v>
      </c>
      <c r="E209" s="59">
        <f t="shared" si="18"/>
        <v>2</v>
      </c>
      <c r="F209" s="60">
        <v>0.8</v>
      </c>
      <c r="G209" s="61">
        <f t="shared" si="19"/>
        <v>3.6</v>
      </c>
      <c r="H209" s="62">
        <v>11.0</v>
      </c>
      <c r="I209" s="63">
        <f t="shared" si="20"/>
        <v>22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56" t="s">
        <v>794</v>
      </c>
      <c r="B210" s="19">
        <v>2.0</v>
      </c>
      <c r="C210" s="57">
        <v>2.0</v>
      </c>
      <c r="D210" s="58">
        <v>0.0</v>
      </c>
      <c r="E210" s="59">
        <f t="shared" si="18"/>
        <v>2</v>
      </c>
      <c r="F210" s="60">
        <v>0.8</v>
      </c>
      <c r="G210" s="61">
        <f t="shared" si="19"/>
        <v>3.6</v>
      </c>
      <c r="H210" s="62">
        <v>11.0</v>
      </c>
      <c r="I210" s="63">
        <f t="shared" si="20"/>
        <v>22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56" t="s">
        <v>797</v>
      </c>
      <c r="B211" s="19">
        <v>1.0</v>
      </c>
      <c r="C211" s="57">
        <v>2.0</v>
      </c>
      <c r="D211" s="58">
        <v>0.0</v>
      </c>
      <c r="E211" s="59">
        <f t="shared" si="18"/>
        <v>1</v>
      </c>
      <c r="F211" s="60">
        <v>0.8</v>
      </c>
      <c r="G211" s="61">
        <f t="shared" si="19"/>
        <v>3.6</v>
      </c>
      <c r="H211" s="62">
        <v>16.0</v>
      </c>
      <c r="I211" s="63">
        <f t="shared" si="20"/>
        <v>16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56" t="s">
        <v>798</v>
      </c>
      <c r="B212" s="19">
        <v>1.0</v>
      </c>
      <c r="C212" s="57">
        <v>2.0</v>
      </c>
      <c r="D212" s="58">
        <v>0.0</v>
      </c>
      <c r="E212" s="59">
        <f t="shared" si="18"/>
        <v>1</v>
      </c>
      <c r="F212" s="60">
        <v>0.8</v>
      </c>
      <c r="G212" s="61">
        <f t="shared" si="19"/>
        <v>3.6</v>
      </c>
      <c r="H212" s="62">
        <v>16.0</v>
      </c>
      <c r="I212" s="63">
        <f t="shared" si="20"/>
        <v>16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56" t="s">
        <v>802</v>
      </c>
      <c r="B213" s="19">
        <v>1.0</v>
      </c>
      <c r="C213" s="57">
        <v>2.0</v>
      </c>
      <c r="D213" s="58">
        <v>0.0</v>
      </c>
      <c r="E213" s="59">
        <f t="shared" si="18"/>
        <v>1</v>
      </c>
      <c r="F213" s="60">
        <v>0.8</v>
      </c>
      <c r="G213" s="61">
        <f t="shared" si="19"/>
        <v>3.6</v>
      </c>
      <c r="H213" s="62">
        <v>50.0</v>
      </c>
      <c r="I213" s="63">
        <f t="shared" si="20"/>
        <v>50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56" t="s">
        <v>804</v>
      </c>
      <c r="B214" s="19">
        <v>2.0</v>
      </c>
      <c r="C214" s="57">
        <v>2.0</v>
      </c>
      <c r="D214" s="58">
        <v>0.0</v>
      </c>
      <c r="E214" s="59">
        <f t="shared" si="18"/>
        <v>2</v>
      </c>
      <c r="F214" s="60">
        <v>0.8</v>
      </c>
      <c r="G214" s="61">
        <f t="shared" si="19"/>
        <v>3.6</v>
      </c>
      <c r="H214" s="62">
        <v>30.0</v>
      </c>
      <c r="I214" s="63">
        <f t="shared" si="20"/>
        <v>60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56" t="s">
        <v>806</v>
      </c>
      <c r="B215" s="19">
        <v>2.0</v>
      </c>
      <c r="C215" s="57">
        <v>2.0</v>
      </c>
      <c r="D215" s="58">
        <v>0.0</v>
      </c>
      <c r="E215" s="59">
        <f t="shared" si="18"/>
        <v>2</v>
      </c>
      <c r="F215" s="60">
        <v>0.8</v>
      </c>
      <c r="G215" s="61">
        <f t="shared" si="19"/>
        <v>3.6</v>
      </c>
      <c r="H215" s="62">
        <v>20.0</v>
      </c>
      <c r="I215" s="63">
        <f t="shared" si="20"/>
        <v>40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56" t="s">
        <v>802</v>
      </c>
      <c r="B216" s="19">
        <v>1.0</v>
      </c>
      <c r="C216" s="57">
        <v>2.0</v>
      </c>
      <c r="D216" s="58">
        <v>0.0</v>
      </c>
      <c r="E216" s="59">
        <f t="shared" si="18"/>
        <v>1</v>
      </c>
      <c r="F216" s="60">
        <v>0.8</v>
      </c>
      <c r="G216" s="61">
        <f t="shared" si="19"/>
        <v>3.6</v>
      </c>
      <c r="H216" s="62">
        <v>50.0</v>
      </c>
      <c r="I216" s="63">
        <f t="shared" si="20"/>
        <v>50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56" t="s">
        <v>810</v>
      </c>
      <c r="B217" s="19">
        <v>1.0</v>
      </c>
      <c r="C217" s="57">
        <v>2.0</v>
      </c>
      <c r="D217" s="58">
        <v>0.0</v>
      </c>
      <c r="E217" s="59">
        <f t="shared" si="18"/>
        <v>1</v>
      </c>
      <c r="F217" s="60">
        <v>0.8</v>
      </c>
      <c r="G217" s="61">
        <f t="shared" si="19"/>
        <v>3.6</v>
      </c>
      <c r="H217" s="62">
        <v>60.0</v>
      </c>
      <c r="I217" s="63">
        <f t="shared" si="20"/>
        <v>60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56" t="s">
        <v>813</v>
      </c>
      <c r="B218" s="19">
        <v>1.0</v>
      </c>
      <c r="C218" s="85"/>
      <c r="D218" s="58">
        <v>0.0</v>
      </c>
      <c r="E218" s="59">
        <f t="shared" si="18"/>
        <v>1</v>
      </c>
      <c r="F218" s="112"/>
      <c r="G218" s="113"/>
      <c r="H218" s="62">
        <v>15.0</v>
      </c>
      <c r="I218" s="63">
        <f t="shared" si="20"/>
        <v>15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56" t="s">
        <v>816</v>
      </c>
      <c r="B219" s="19">
        <v>1.0</v>
      </c>
      <c r="C219" s="85"/>
      <c r="D219" s="58">
        <v>0.0</v>
      </c>
      <c r="E219" s="59">
        <f t="shared" si="18"/>
        <v>1</v>
      </c>
      <c r="F219" s="112"/>
      <c r="G219" s="113"/>
      <c r="H219" s="62">
        <v>15.0</v>
      </c>
      <c r="I219" s="63">
        <f t="shared" si="20"/>
        <v>15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56" t="s">
        <v>818</v>
      </c>
      <c r="B220" s="19">
        <v>1.0</v>
      </c>
      <c r="C220" s="57">
        <v>2.0</v>
      </c>
      <c r="D220" s="58">
        <v>0.0</v>
      </c>
      <c r="E220" s="59">
        <f t="shared" si="18"/>
        <v>1</v>
      </c>
      <c r="F220" s="60">
        <v>0.8</v>
      </c>
      <c r="G220" s="61">
        <f t="shared" ref="G220:G231" si="21">C220+(C220*F220)</f>
        <v>3.6</v>
      </c>
      <c r="H220" s="62">
        <v>45.0</v>
      </c>
      <c r="I220" s="63">
        <f t="shared" si="20"/>
        <v>45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56" t="s">
        <v>822</v>
      </c>
      <c r="B221" s="19">
        <v>1.0</v>
      </c>
      <c r="C221" s="57">
        <v>2.0</v>
      </c>
      <c r="D221" s="58">
        <v>0.0</v>
      </c>
      <c r="E221" s="59">
        <f t="shared" si="18"/>
        <v>1</v>
      </c>
      <c r="F221" s="60">
        <v>0.8</v>
      </c>
      <c r="G221" s="61">
        <f t="shared" si="21"/>
        <v>3.6</v>
      </c>
      <c r="H221" s="62">
        <v>40.0</v>
      </c>
      <c r="I221" s="63">
        <f t="shared" si="20"/>
        <v>40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56" t="s">
        <v>824</v>
      </c>
      <c r="B222" s="19">
        <v>1.0</v>
      </c>
      <c r="C222" s="57">
        <v>2.0</v>
      </c>
      <c r="D222" s="58">
        <v>0.0</v>
      </c>
      <c r="E222" s="59">
        <f t="shared" si="18"/>
        <v>1</v>
      </c>
      <c r="F222" s="60">
        <v>0.8</v>
      </c>
      <c r="G222" s="61">
        <f t="shared" si="21"/>
        <v>3.6</v>
      </c>
      <c r="H222" s="62">
        <v>90.0</v>
      </c>
      <c r="I222" s="63">
        <f t="shared" si="20"/>
        <v>90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56" t="s">
        <v>431</v>
      </c>
      <c r="B223" s="19">
        <v>2.0</v>
      </c>
      <c r="C223" s="114">
        <v>3.45</v>
      </c>
      <c r="D223" s="22">
        <v>0.0</v>
      </c>
      <c r="E223" s="24">
        <f t="shared" si="18"/>
        <v>2</v>
      </c>
      <c r="F223" s="25">
        <v>0.4</v>
      </c>
      <c r="G223" s="26">
        <f t="shared" si="21"/>
        <v>4.83</v>
      </c>
      <c r="H223" s="27">
        <v>11.0</v>
      </c>
      <c r="I223" s="32">
        <f t="shared" si="20"/>
        <v>22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56" t="s">
        <v>435</v>
      </c>
      <c r="B224" s="19">
        <v>1.0</v>
      </c>
      <c r="C224" s="114">
        <v>3.45</v>
      </c>
      <c r="D224" s="22">
        <v>0.0</v>
      </c>
      <c r="E224" s="24">
        <f t="shared" si="18"/>
        <v>1</v>
      </c>
      <c r="F224" s="25">
        <v>0.4</v>
      </c>
      <c r="G224" s="26">
        <f t="shared" si="21"/>
        <v>4.83</v>
      </c>
      <c r="H224" s="27">
        <v>11.0</v>
      </c>
      <c r="I224" s="32">
        <f t="shared" si="20"/>
        <v>11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56" t="s">
        <v>437</v>
      </c>
      <c r="B225" s="19">
        <v>1.0</v>
      </c>
      <c r="C225" s="114">
        <v>3.45</v>
      </c>
      <c r="D225" s="22">
        <v>0.0</v>
      </c>
      <c r="E225" s="24">
        <f t="shared" si="18"/>
        <v>1</v>
      </c>
      <c r="F225" s="25">
        <v>0.4</v>
      </c>
      <c r="G225" s="26">
        <f t="shared" si="21"/>
        <v>4.83</v>
      </c>
      <c r="H225" s="27">
        <v>11.0</v>
      </c>
      <c r="I225" s="32">
        <f t="shared" si="20"/>
        <v>11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56" t="s">
        <v>439</v>
      </c>
      <c r="B226" s="19">
        <v>1.0</v>
      </c>
      <c r="C226" s="114">
        <v>3.45</v>
      </c>
      <c r="D226" s="22">
        <v>0.0</v>
      </c>
      <c r="E226" s="24">
        <f t="shared" si="18"/>
        <v>1</v>
      </c>
      <c r="F226" s="25">
        <v>0.4</v>
      </c>
      <c r="G226" s="26">
        <f t="shared" si="21"/>
        <v>4.83</v>
      </c>
      <c r="H226" s="27">
        <v>11.0</v>
      </c>
      <c r="I226" s="32">
        <f t="shared" si="20"/>
        <v>11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56" t="s">
        <v>442</v>
      </c>
      <c r="B227" s="19">
        <v>2.0</v>
      </c>
      <c r="C227" s="114">
        <v>3.45</v>
      </c>
      <c r="D227" s="22">
        <v>0.0</v>
      </c>
      <c r="E227" s="24">
        <f t="shared" si="18"/>
        <v>2</v>
      </c>
      <c r="F227" s="25">
        <v>0.4</v>
      </c>
      <c r="G227" s="26">
        <f t="shared" si="21"/>
        <v>4.83</v>
      </c>
      <c r="H227" s="27">
        <v>11.0</v>
      </c>
      <c r="I227" s="32">
        <f t="shared" si="20"/>
        <v>22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56" t="s">
        <v>444</v>
      </c>
      <c r="B228" s="19">
        <v>2.0</v>
      </c>
      <c r="C228" s="114">
        <v>3.45</v>
      </c>
      <c r="D228" s="22">
        <v>0.0</v>
      </c>
      <c r="E228" s="24">
        <f t="shared" si="18"/>
        <v>2</v>
      </c>
      <c r="F228" s="25">
        <v>0.4</v>
      </c>
      <c r="G228" s="26">
        <f t="shared" si="21"/>
        <v>4.83</v>
      </c>
      <c r="H228" s="27">
        <v>11.0</v>
      </c>
      <c r="I228" s="32">
        <f t="shared" si="20"/>
        <v>22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56" t="s">
        <v>447</v>
      </c>
      <c r="B229" s="19">
        <v>2.0</v>
      </c>
      <c r="C229" s="114">
        <v>3.45</v>
      </c>
      <c r="D229" s="22">
        <v>0.0</v>
      </c>
      <c r="E229" s="24">
        <f t="shared" si="18"/>
        <v>2</v>
      </c>
      <c r="F229" s="25">
        <v>0.4</v>
      </c>
      <c r="G229" s="26">
        <f t="shared" si="21"/>
        <v>4.83</v>
      </c>
      <c r="H229" s="27">
        <v>11.0</v>
      </c>
      <c r="I229" s="32">
        <f t="shared" si="20"/>
        <v>22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56" t="s">
        <v>449</v>
      </c>
      <c r="B230" s="19">
        <v>2.0</v>
      </c>
      <c r="C230" s="114">
        <v>3.45</v>
      </c>
      <c r="D230" s="22">
        <v>0.0</v>
      </c>
      <c r="E230" s="24">
        <f t="shared" si="18"/>
        <v>2</v>
      </c>
      <c r="F230" s="25">
        <v>0.4</v>
      </c>
      <c r="G230" s="26">
        <f t="shared" si="21"/>
        <v>4.83</v>
      </c>
      <c r="H230" s="27">
        <v>11.0</v>
      </c>
      <c r="I230" s="32">
        <f t="shared" si="20"/>
        <v>22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56" t="s">
        <v>840</v>
      </c>
      <c r="B231" s="19">
        <v>5.0</v>
      </c>
      <c r="C231" s="57">
        <v>2.35</v>
      </c>
      <c r="D231" s="58">
        <v>0.0</v>
      </c>
      <c r="E231" s="83">
        <f t="shared" si="18"/>
        <v>5</v>
      </c>
      <c r="F231" s="60">
        <v>0.4</v>
      </c>
      <c r="G231" s="61">
        <f t="shared" si="21"/>
        <v>3.29</v>
      </c>
      <c r="H231" s="62">
        <v>3.5</v>
      </c>
      <c r="I231" s="63">
        <f t="shared" si="20"/>
        <v>17.5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02"/>
      <c r="B232" s="19">
        <f>SUM(B180:B231)</f>
        <v>220</v>
      </c>
      <c r="C232" s="103"/>
      <c r="D232" s="103"/>
      <c r="E232" s="103"/>
      <c r="F232" s="103"/>
      <c r="G232" s="103"/>
      <c r="H232" s="103"/>
      <c r="I232" s="50">
        <f>SUM(I180:I231)</f>
        <v>1965.5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02"/>
      <c r="B233" s="110"/>
      <c r="C233" s="103"/>
      <c r="D233" s="103"/>
      <c r="E233" s="103"/>
      <c r="F233" s="103"/>
      <c r="G233" s="103"/>
      <c r="H233" s="103"/>
      <c r="I233" s="7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2" t="s">
        <v>847</v>
      </c>
      <c r="B234" s="4"/>
      <c r="C234" s="4"/>
      <c r="D234" s="4"/>
      <c r="E234" s="4"/>
      <c r="F234" s="4"/>
      <c r="G234" s="4"/>
      <c r="H234" s="4"/>
      <c r="I234" s="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56" t="s">
        <v>451</v>
      </c>
      <c r="B235" s="66">
        <v>1.0</v>
      </c>
      <c r="C235" s="64">
        <v>2.0</v>
      </c>
      <c r="D235" s="58">
        <v>0.0</v>
      </c>
      <c r="E235" s="83">
        <f t="shared" ref="E235:E256" si="22">+B235-D235</f>
        <v>1</v>
      </c>
      <c r="F235" s="60">
        <v>0.4</v>
      </c>
      <c r="G235" s="61">
        <f t="shared" ref="G235:G256" si="23">C235+(C235*F235)</f>
        <v>2.8</v>
      </c>
      <c r="H235" s="62">
        <v>4.0</v>
      </c>
      <c r="I235" s="63">
        <f t="shared" ref="I235:I256" si="24">+E235*H235</f>
        <v>4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56" t="s">
        <v>453</v>
      </c>
      <c r="B236" s="66">
        <v>1.0</v>
      </c>
      <c r="C236" s="64">
        <v>2.0</v>
      </c>
      <c r="D236" s="58">
        <v>0.0</v>
      </c>
      <c r="E236" s="83">
        <f t="shared" si="22"/>
        <v>1</v>
      </c>
      <c r="F236" s="60">
        <v>0.4</v>
      </c>
      <c r="G236" s="61">
        <f t="shared" si="23"/>
        <v>2.8</v>
      </c>
      <c r="H236" s="62">
        <v>4.0</v>
      </c>
      <c r="I236" s="63">
        <f t="shared" si="24"/>
        <v>4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56" t="s">
        <v>455</v>
      </c>
      <c r="B237" s="66">
        <v>1.0</v>
      </c>
      <c r="C237" s="64">
        <v>2.0</v>
      </c>
      <c r="D237" s="58">
        <v>0.0</v>
      </c>
      <c r="E237" s="83">
        <f t="shared" si="22"/>
        <v>1</v>
      </c>
      <c r="F237" s="60">
        <v>0.4</v>
      </c>
      <c r="G237" s="61">
        <f t="shared" si="23"/>
        <v>2.8</v>
      </c>
      <c r="H237" s="62">
        <v>5.0</v>
      </c>
      <c r="I237" s="63">
        <f t="shared" si="24"/>
        <v>5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56" t="s">
        <v>456</v>
      </c>
      <c r="B238" s="66">
        <v>1.0</v>
      </c>
      <c r="C238" s="64">
        <v>2.0</v>
      </c>
      <c r="D238" s="58">
        <v>0.0</v>
      </c>
      <c r="E238" s="83">
        <f t="shared" si="22"/>
        <v>1</v>
      </c>
      <c r="F238" s="60">
        <v>0.4</v>
      </c>
      <c r="G238" s="61">
        <f t="shared" si="23"/>
        <v>2.8</v>
      </c>
      <c r="H238" s="62">
        <v>4.0</v>
      </c>
      <c r="I238" s="63">
        <f t="shared" si="24"/>
        <v>4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56" t="s">
        <v>458</v>
      </c>
      <c r="B239" s="66">
        <v>3.0</v>
      </c>
      <c r="C239" s="64">
        <v>5.0</v>
      </c>
      <c r="D239" s="58">
        <v>0.0</v>
      </c>
      <c r="E239" s="83">
        <f t="shared" si="22"/>
        <v>3</v>
      </c>
      <c r="F239" s="60">
        <v>0.4</v>
      </c>
      <c r="G239" s="61">
        <f t="shared" si="23"/>
        <v>7</v>
      </c>
      <c r="H239" s="62">
        <v>6.0</v>
      </c>
      <c r="I239" s="63">
        <f t="shared" si="24"/>
        <v>18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56" t="s">
        <v>460</v>
      </c>
      <c r="B240" s="66">
        <v>1.0</v>
      </c>
      <c r="C240" s="64">
        <v>5.0</v>
      </c>
      <c r="D240" s="58">
        <v>0.0</v>
      </c>
      <c r="E240" s="83">
        <f t="shared" si="22"/>
        <v>1</v>
      </c>
      <c r="F240" s="60">
        <v>0.4</v>
      </c>
      <c r="G240" s="61">
        <f t="shared" si="23"/>
        <v>7</v>
      </c>
      <c r="H240" s="62">
        <v>6.0</v>
      </c>
      <c r="I240" s="63">
        <f t="shared" si="24"/>
        <v>6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56" t="s">
        <v>461</v>
      </c>
      <c r="B241" s="66">
        <v>1.0</v>
      </c>
      <c r="C241" s="64">
        <v>5.0</v>
      </c>
      <c r="D241" s="58">
        <v>0.0</v>
      </c>
      <c r="E241" s="83">
        <f t="shared" si="22"/>
        <v>1</v>
      </c>
      <c r="F241" s="60">
        <v>0.4</v>
      </c>
      <c r="G241" s="61">
        <f t="shared" si="23"/>
        <v>7</v>
      </c>
      <c r="H241" s="62">
        <v>6.0</v>
      </c>
      <c r="I241" s="63">
        <f t="shared" si="24"/>
        <v>6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56" t="s">
        <v>460</v>
      </c>
      <c r="B242" s="66">
        <v>1.0</v>
      </c>
      <c r="C242" s="64">
        <v>5.0</v>
      </c>
      <c r="D242" s="58">
        <v>0.0</v>
      </c>
      <c r="E242" s="83">
        <f t="shared" si="22"/>
        <v>1</v>
      </c>
      <c r="F242" s="60">
        <v>0.4</v>
      </c>
      <c r="G242" s="61">
        <f t="shared" si="23"/>
        <v>7</v>
      </c>
      <c r="H242" s="62">
        <v>6.0</v>
      </c>
      <c r="I242" s="63">
        <f t="shared" si="24"/>
        <v>6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56" t="s">
        <v>868</v>
      </c>
      <c r="B243" s="66">
        <v>1.0</v>
      </c>
      <c r="C243" s="64">
        <v>5.0</v>
      </c>
      <c r="D243" s="58">
        <v>0.0</v>
      </c>
      <c r="E243" s="83">
        <f t="shared" si="22"/>
        <v>1</v>
      </c>
      <c r="F243" s="60">
        <v>0.4</v>
      </c>
      <c r="G243" s="61">
        <f t="shared" si="23"/>
        <v>7</v>
      </c>
      <c r="H243" s="62">
        <v>10.0</v>
      </c>
      <c r="I243" s="63">
        <f t="shared" si="24"/>
        <v>10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56" t="s">
        <v>871</v>
      </c>
      <c r="B244" s="66">
        <v>1.0</v>
      </c>
      <c r="C244" s="64">
        <v>5.0</v>
      </c>
      <c r="D244" s="58">
        <v>0.0</v>
      </c>
      <c r="E244" s="83">
        <f t="shared" si="22"/>
        <v>1</v>
      </c>
      <c r="F244" s="60">
        <v>0.4</v>
      </c>
      <c r="G244" s="61">
        <f t="shared" si="23"/>
        <v>7</v>
      </c>
      <c r="H244" s="62">
        <v>10.0</v>
      </c>
      <c r="I244" s="63">
        <f t="shared" si="24"/>
        <v>10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56" t="s">
        <v>875</v>
      </c>
      <c r="B245" s="66">
        <v>1.0</v>
      </c>
      <c r="C245" s="64">
        <v>5.0</v>
      </c>
      <c r="D245" s="58">
        <v>0.0</v>
      </c>
      <c r="E245" s="83">
        <f t="shared" si="22"/>
        <v>1</v>
      </c>
      <c r="F245" s="60">
        <v>0.4</v>
      </c>
      <c r="G245" s="61">
        <f t="shared" si="23"/>
        <v>7</v>
      </c>
      <c r="H245" s="62">
        <v>10.0</v>
      </c>
      <c r="I245" s="63">
        <f t="shared" si="24"/>
        <v>10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56" t="s">
        <v>879</v>
      </c>
      <c r="B246" s="66">
        <v>1.0</v>
      </c>
      <c r="C246" s="64">
        <v>5.0</v>
      </c>
      <c r="D246" s="58">
        <v>0.0</v>
      </c>
      <c r="E246" s="83">
        <f t="shared" si="22"/>
        <v>1</v>
      </c>
      <c r="F246" s="60">
        <v>0.4</v>
      </c>
      <c r="G246" s="61">
        <f t="shared" si="23"/>
        <v>7</v>
      </c>
      <c r="H246" s="62">
        <v>10.0</v>
      </c>
      <c r="I246" s="63">
        <f t="shared" si="24"/>
        <v>10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56" t="s">
        <v>880</v>
      </c>
      <c r="B247" s="66">
        <v>4.0</v>
      </c>
      <c r="C247" s="64">
        <v>5.0</v>
      </c>
      <c r="D247" s="58">
        <v>0.0</v>
      </c>
      <c r="E247" s="83">
        <f t="shared" si="22"/>
        <v>4</v>
      </c>
      <c r="F247" s="60">
        <v>0.4</v>
      </c>
      <c r="G247" s="61">
        <f t="shared" si="23"/>
        <v>7</v>
      </c>
      <c r="H247" s="62">
        <v>11.0</v>
      </c>
      <c r="I247" s="63">
        <f t="shared" si="24"/>
        <v>44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56" t="s">
        <v>469</v>
      </c>
      <c r="B248" s="66">
        <v>6.0</v>
      </c>
      <c r="C248" s="64">
        <v>2.5</v>
      </c>
      <c r="D248" s="58">
        <v>0.0</v>
      </c>
      <c r="E248" s="83">
        <f t="shared" si="22"/>
        <v>6</v>
      </c>
      <c r="F248" s="60">
        <v>0.4</v>
      </c>
      <c r="G248" s="61">
        <f t="shared" si="23"/>
        <v>3.5</v>
      </c>
      <c r="H248" s="62">
        <v>4.0</v>
      </c>
      <c r="I248" s="63">
        <f t="shared" si="24"/>
        <v>24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56" t="s">
        <v>471</v>
      </c>
      <c r="B249" s="66">
        <v>5.0</v>
      </c>
      <c r="C249" s="64">
        <v>2.5</v>
      </c>
      <c r="D249" s="58">
        <v>0.0</v>
      </c>
      <c r="E249" s="83">
        <f t="shared" si="22"/>
        <v>5</v>
      </c>
      <c r="F249" s="60">
        <v>0.4</v>
      </c>
      <c r="G249" s="61">
        <f t="shared" si="23"/>
        <v>3.5</v>
      </c>
      <c r="H249" s="62">
        <v>4.0</v>
      </c>
      <c r="I249" s="63">
        <f t="shared" si="24"/>
        <v>20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56" t="s">
        <v>472</v>
      </c>
      <c r="B250" s="66">
        <v>4.0</v>
      </c>
      <c r="C250" s="64">
        <v>2.5</v>
      </c>
      <c r="D250" s="58">
        <v>0.0</v>
      </c>
      <c r="E250" s="83">
        <f t="shared" si="22"/>
        <v>4</v>
      </c>
      <c r="F250" s="60">
        <v>0.4</v>
      </c>
      <c r="G250" s="61">
        <f t="shared" si="23"/>
        <v>3.5</v>
      </c>
      <c r="H250" s="62">
        <v>4.0</v>
      </c>
      <c r="I250" s="63">
        <f t="shared" si="24"/>
        <v>16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56" t="s">
        <v>473</v>
      </c>
      <c r="B251" s="66">
        <v>3.0</v>
      </c>
      <c r="C251" s="64">
        <v>2.5</v>
      </c>
      <c r="D251" s="58">
        <v>0.0</v>
      </c>
      <c r="E251" s="83">
        <f t="shared" si="22"/>
        <v>3</v>
      </c>
      <c r="F251" s="60">
        <v>0.4</v>
      </c>
      <c r="G251" s="61">
        <f t="shared" si="23"/>
        <v>3.5</v>
      </c>
      <c r="H251" s="62">
        <v>4.0</v>
      </c>
      <c r="I251" s="63">
        <f t="shared" si="24"/>
        <v>12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56" t="s">
        <v>475</v>
      </c>
      <c r="B252" s="66">
        <v>4.0</v>
      </c>
      <c r="C252" s="64">
        <v>2.5</v>
      </c>
      <c r="D252" s="58">
        <v>0.0</v>
      </c>
      <c r="E252" s="83">
        <f t="shared" si="22"/>
        <v>4</v>
      </c>
      <c r="F252" s="60">
        <v>0.4</v>
      </c>
      <c r="G252" s="61">
        <f t="shared" si="23"/>
        <v>3.5</v>
      </c>
      <c r="H252" s="62">
        <v>4.0</v>
      </c>
      <c r="I252" s="63">
        <f t="shared" si="24"/>
        <v>16</v>
      </c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>
      <c r="A253" s="56" t="s">
        <v>476</v>
      </c>
      <c r="B253" s="66">
        <v>3.0</v>
      </c>
      <c r="C253" s="64">
        <v>2.5</v>
      </c>
      <c r="D253" s="58">
        <v>0.0</v>
      </c>
      <c r="E253" s="83">
        <f t="shared" si="22"/>
        <v>3</v>
      </c>
      <c r="F253" s="60">
        <v>0.4</v>
      </c>
      <c r="G253" s="61">
        <f t="shared" si="23"/>
        <v>3.5</v>
      </c>
      <c r="H253" s="62">
        <v>4.0</v>
      </c>
      <c r="I253" s="63">
        <f t="shared" si="24"/>
        <v>12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56" t="s">
        <v>478</v>
      </c>
      <c r="B254" s="66">
        <v>2.0</v>
      </c>
      <c r="C254" s="64">
        <v>2.5</v>
      </c>
      <c r="D254" s="58">
        <v>0.0</v>
      </c>
      <c r="E254" s="83">
        <f t="shared" si="22"/>
        <v>2</v>
      </c>
      <c r="F254" s="60">
        <v>0.4</v>
      </c>
      <c r="G254" s="61">
        <f t="shared" si="23"/>
        <v>3.5</v>
      </c>
      <c r="H254" s="62">
        <v>4.0</v>
      </c>
      <c r="I254" s="63">
        <f t="shared" si="24"/>
        <v>8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56" t="s">
        <v>480</v>
      </c>
      <c r="B255" s="66">
        <v>1.0</v>
      </c>
      <c r="C255" s="64">
        <v>2.5</v>
      </c>
      <c r="D255" s="58">
        <v>0.0</v>
      </c>
      <c r="E255" s="83">
        <f t="shared" si="22"/>
        <v>1</v>
      </c>
      <c r="F255" s="60">
        <v>0.4</v>
      </c>
      <c r="G255" s="61">
        <f t="shared" si="23"/>
        <v>3.5</v>
      </c>
      <c r="H255" s="62">
        <v>4.0</v>
      </c>
      <c r="I255" s="63">
        <f t="shared" si="24"/>
        <v>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56" t="s">
        <v>483</v>
      </c>
      <c r="B256" s="66">
        <v>1.0</v>
      </c>
      <c r="C256" s="64">
        <v>2.5</v>
      </c>
      <c r="D256" s="58">
        <v>0.0</v>
      </c>
      <c r="E256" s="83">
        <f t="shared" si="22"/>
        <v>1</v>
      </c>
      <c r="F256" s="60">
        <v>0.4</v>
      </c>
      <c r="G256" s="61">
        <f t="shared" si="23"/>
        <v>3.5</v>
      </c>
      <c r="H256" s="62">
        <v>4.0</v>
      </c>
      <c r="I256" s="63">
        <f t="shared" si="24"/>
        <v>4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02"/>
      <c r="B257" s="19">
        <f>SUM(B235:B256)</f>
        <v>47</v>
      </c>
      <c r="C257" s="103"/>
      <c r="D257" s="103"/>
      <c r="E257" s="103"/>
      <c r="F257" s="103"/>
      <c r="G257" s="103"/>
      <c r="H257" s="103"/>
      <c r="I257" s="50">
        <f>SUM(I235:I256)</f>
        <v>253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02"/>
      <c r="B258" s="110"/>
      <c r="C258" s="103"/>
      <c r="D258" s="103"/>
      <c r="E258" s="103"/>
      <c r="F258" s="103"/>
      <c r="G258" s="103"/>
      <c r="H258" s="103"/>
      <c r="I258" s="7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2" t="s">
        <v>920</v>
      </c>
      <c r="B259" s="4"/>
      <c r="C259" s="4"/>
      <c r="D259" s="4"/>
      <c r="E259" s="4"/>
      <c r="F259" s="4"/>
      <c r="G259" s="4"/>
      <c r="H259" s="4"/>
      <c r="I259" s="6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56" t="s">
        <v>262</v>
      </c>
      <c r="B260" s="19">
        <v>5.0</v>
      </c>
      <c r="C260" s="85"/>
      <c r="D260" s="58">
        <v>0.0</v>
      </c>
      <c r="E260" s="59">
        <f t="shared" ref="E260:E285" si="25">+B260-D260</f>
        <v>5</v>
      </c>
      <c r="F260" s="60">
        <v>0.3</v>
      </c>
      <c r="G260" s="61">
        <f t="shared" ref="G260:G285" si="26">C260+(C260*F260)</f>
        <v>0</v>
      </c>
      <c r="H260" s="81">
        <v>15.0</v>
      </c>
      <c r="I260" s="63">
        <f t="shared" ref="I260:I285" si="27">+E260*H260</f>
        <v>75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56" t="s">
        <v>211</v>
      </c>
      <c r="B261" s="19">
        <v>11.0</v>
      </c>
      <c r="C261" s="85"/>
      <c r="D261" s="58">
        <v>0.0</v>
      </c>
      <c r="E261" s="59">
        <f t="shared" si="25"/>
        <v>11</v>
      </c>
      <c r="F261" s="60">
        <v>0.3</v>
      </c>
      <c r="G261" s="61">
        <f t="shared" si="26"/>
        <v>0</v>
      </c>
      <c r="H261" s="81">
        <v>11.0</v>
      </c>
      <c r="I261" s="63">
        <f t="shared" si="27"/>
        <v>121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56" t="s">
        <v>214</v>
      </c>
      <c r="B262" s="19">
        <v>12.0</v>
      </c>
      <c r="C262" s="85"/>
      <c r="D262" s="58">
        <v>0.0</v>
      </c>
      <c r="E262" s="59">
        <f t="shared" si="25"/>
        <v>12</v>
      </c>
      <c r="F262" s="60">
        <v>0.3</v>
      </c>
      <c r="G262" s="61">
        <f t="shared" si="26"/>
        <v>0</v>
      </c>
      <c r="H262" s="81">
        <v>12.0</v>
      </c>
      <c r="I262" s="63">
        <f t="shared" si="27"/>
        <v>144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56" t="s">
        <v>167</v>
      </c>
      <c r="B263" s="19">
        <v>8.0</v>
      </c>
      <c r="C263" s="85"/>
      <c r="D263" s="58">
        <v>0.0</v>
      </c>
      <c r="E263" s="59">
        <f t="shared" si="25"/>
        <v>8</v>
      </c>
      <c r="F263" s="60">
        <v>0.3</v>
      </c>
      <c r="G263" s="61">
        <f t="shared" si="26"/>
        <v>0</v>
      </c>
      <c r="H263" s="81">
        <v>12.0</v>
      </c>
      <c r="I263" s="63">
        <f t="shared" si="27"/>
        <v>96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56" t="s">
        <v>169</v>
      </c>
      <c r="B264" s="19">
        <v>21.0</v>
      </c>
      <c r="C264" s="85"/>
      <c r="D264" s="58">
        <v>0.0</v>
      </c>
      <c r="E264" s="59">
        <f t="shared" si="25"/>
        <v>21</v>
      </c>
      <c r="F264" s="60">
        <v>0.3</v>
      </c>
      <c r="G264" s="61">
        <f t="shared" si="26"/>
        <v>0</v>
      </c>
      <c r="H264" s="81">
        <v>12.0</v>
      </c>
      <c r="I264" s="63">
        <f t="shared" si="27"/>
        <v>252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56" t="s">
        <v>266</v>
      </c>
      <c r="B265" s="19">
        <v>7.0</v>
      </c>
      <c r="C265" s="85"/>
      <c r="D265" s="58">
        <v>0.0</v>
      </c>
      <c r="E265" s="59">
        <f t="shared" si="25"/>
        <v>7</v>
      </c>
      <c r="F265" s="60">
        <v>0.3</v>
      </c>
      <c r="G265" s="61">
        <f t="shared" si="26"/>
        <v>0</v>
      </c>
      <c r="H265" s="81">
        <v>12.0</v>
      </c>
      <c r="I265" s="63">
        <f t="shared" si="27"/>
        <v>84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56" t="s">
        <v>268</v>
      </c>
      <c r="B266" s="19">
        <v>26.0</v>
      </c>
      <c r="C266" s="85"/>
      <c r="D266" s="58">
        <v>0.0</v>
      </c>
      <c r="E266" s="59">
        <f t="shared" si="25"/>
        <v>26</v>
      </c>
      <c r="F266" s="60">
        <v>0.3</v>
      </c>
      <c r="G266" s="61">
        <f t="shared" si="26"/>
        <v>0</v>
      </c>
      <c r="H266" s="81">
        <v>12.0</v>
      </c>
      <c r="I266" s="63">
        <f t="shared" si="27"/>
        <v>312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56" t="s">
        <v>937</v>
      </c>
      <c r="B267" s="19">
        <v>1.0</v>
      </c>
      <c r="C267" s="85"/>
      <c r="D267" s="58">
        <v>0.0</v>
      </c>
      <c r="E267" s="59">
        <f t="shared" si="25"/>
        <v>1</v>
      </c>
      <c r="F267" s="60">
        <v>0.3</v>
      </c>
      <c r="G267" s="61">
        <f t="shared" si="26"/>
        <v>0</v>
      </c>
      <c r="H267" s="81">
        <v>12.0</v>
      </c>
      <c r="I267" s="63">
        <f t="shared" si="27"/>
        <v>12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56" t="s">
        <v>258</v>
      </c>
      <c r="B268" s="19">
        <v>1.0</v>
      </c>
      <c r="C268" s="85"/>
      <c r="D268" s="58">
        <v>0.0</v>
      </c>
      <c r="E268" s="59">
        <f t="shared" si="25"/>
        <v>1</v>
      </c>
      <c r="F268" s="60">
        <v>0.3</v>
      </c>
      <c r="G268" s="61">
        <f t="shared" si="26"/>
        <v>0</v>
      </c>
      <c r="H268" s="81">
        <v>12.0</v>
      </c>
      <c r="I268" s="63">
        <f t="shared" si="27"/>
        <v>12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56" t="s">
        <v>181</v>
      </c>
      <c r="B269" s="19">
        <v>7.0</v>
      </c>
      <c r="C269" s="85"/>
      <c r="D269" s="58">
        <v>0.0</v>
      </c>
      <c r="E269" s="59">
        <f t="shared" si="25"/>
        <v>7</v>
      </c>
      <c r="F269" s="60">
        <v>0.3</v>
      </c>
      <c r="G269" s="61">
        <f t="shared" si="26"/>
        <v>0</v>
      </c>
      <c r="H269" s="81">
        <v>12.0</v>
      </c>
      <c r="I269" s="63">
        <f t="shared" si="27"/>
        <v>84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56" t="s">
        <v>183</v>
      </c>
      <c r="B270" s="19">
        <v>6.0</v>
      </c>
      <c r="C270" s="85"/>
      <c r="D270" s="58">
        <v>0.0</v>
      </c>
      <c r="E270" s="59">
        <f t="shared" si="25"/>
        <v>6</v>
      </c>
      <c r="F270" s="60">
        <v>0.3</v>
      </c>
      <c r="G270" s="61">
        <f t="shared" si="26"/>
        <v>0</v>
      </c>
      <c r="H270" s="81">
        <v>12.0</v>
      </c>
      <c r="I270" s="63">
        <f t="shared" si="27"/>
        <v>72</v>
      </c>
      <c r="J270" s="115">
        <v>6.0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56" t="s">
        <v>186</v>
      </c>
      <c r="B271" s="19">
        <v>3.0</v>
      </c>
      <c r="C271" s="85"/>
      <c r="D271" s="58">
        <v>0.0</v>
      </c>
      <c r="E271" s="59">
        <f t="shared" si="25"/>
        <v>3</v>
      </c>
      <c r="F271" s="60">
        <v>0.3</v>
      </c>
      <c r="G271" s="61">
        <f t="shared" si="26"/>
        <v>0</v>
      </c>
      <c r="H271" s="81">
        <v>12.0</v>
      </c>
      <c r="I271" s="63">
        <f t="shared" si="27"/>
        <v>36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56" t="s">
        <v>338</v>
      </c>
      <c r="B272" s="19">
        <v>3.0</v>
      </c>
      <c r="C272" s="85"/>
      <c r="D272" s="58">
        <v>0.0</v>
      </c>
      <c r="E272" s="59">
        <f t="shared" si="25"/>
        <v>3</v>
      </c>
      <c r="F272" s="60">
        <v>0.3</v>
      </c>
      <c r="G272" s="61">
        <f t="shared" si="26"/>
        <v>0</v>
      </c>
      <c r="H272" s="81">
        <v>12.0</v>
      </c>
      <c r="I272" s="63">
        <f t="shared" si="27"/>
        <v>36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56" t="s">
        <v>341</v>
      </c>
      <c r="B273" s="19">
        <v>1.0</v>
      </c>
      <c r="C273" s="85"/>
      <c r="D273" s="58">
        <v>0.0</v>
      </c>
      <c r="E273" s="59">
        <f t="shared" si="25"/>
        <v>1</v>
      </c>
      <c r="F273" s="60">
        <v>0.3</v>
      </c>
      <c r="G273" s="61">
        <f t="shared" si="26"/>
        <v>0</v>
      </c>
      <c r="H273" s="81">
        <v>12.0</v>
      </c>
      <c r="I273" s="63">
        <f t="shared" si="27"/>
        <v>12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56" t="s">
        <v>343</v>
      </c>
      <c r="B274" s="19">
        <v>3.0</v>
      </c>
      <c r="C274" s="85"/>
      <c r="D274" s="58">
        <v>0.0</v>
      </c>
      <c r="E274" s="59">
        <f t="shared" si="25"/>
        <v>3</v>
      </c>
      <c r="F274" s="60">
        <v>0.3</v>
      </c>
      <c r="G274" s="61">
        <f t="shared" si="26"/>
        <v>0</v>
      </c>
      <c r="H274" s="81">
        <v>12.0</v>
      </c>
      <c r="I274" s="63">
        <f t="shared" si="27"/>
        <v>36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56" t="s">
        <v>191</v>
      </c>
      <c r="B275" s="19">
        <v>15.0</v>
      </c>
      <c r="C275" s="85"/>
      <c r="D275" s="58">
        <v>0.0</v>
      </c>
      <c r="E275" s="59">
        <f t="shared" si="25"/>
        <v>15</v>
      </c>
      <c r="F275" s="60">
        <v>0.3</v>
      </c>
      <c r="G275" s="61">
        <f t="shared" si="26"/>
        <v>0</v>
      </c>
      <c r="H275" s="81">
        <v>12.0</v>
      </c>
      <c r="I275" s="63">
        <f t="shared" si="27"/>
        <v>180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56" t="s">
        <v>193</v>
      </c>
      <c r="B276" s="19">
        <v>16.0</v>
      </c>
      <c r="C276" s="85"/>
      <c r="D276" s="58">
        <v>0.0</v>
      </c>
      <c r="E276" s="59">
        <f t="shared" si="25"/>
        <v>16</v>
      </c>
      <c r="F276" s="60">
        <v>0.3</v>
      </c>
      <c r="G276" s="61">
        <f t="shared" si="26"/>
        <v>0</v>
      </c>
      <c r="H276" s="81">
        <v>12.0</v>
      </c>
      <c r="I276" s="63">
        <f t="shared" si="27"/>
        <v>192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56" t="s">
        <v>175</v>
      </c>
      <c r="B277" s="19">
        <v>2.0</v>
      </c>
      <c r="C277" s="85"/>
      <c r="D277" s="58">
        <v>0.0</v>
      </c>
      <c r="E277" s="59">
        <f t="shared" si="25"/>
        <v>2</v>
      </c>
      <c r="F277" s="60">
        <v>0.3</v>
      </c>
      <c r="G277" s="61">
        <f t="shared" si="26"/>
        <v>0</v>
      </c>
      <c r="H277" s="81">
        <v>12.0</v>
      </c>
      <c r="I277" s="63">
        <f t="shared" si="27"/>
        <v>24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56" t="s">
        <v>158</v>
      </c>
      <c r="B278" s="19">
        <v>11.0</v>
      </c>
      <c r="C278" s="85"/>
      <c r="D278" s="58">
        <v>0.0</v>
      </c>
      <c r="E278" s="59">
        <f t="shared" si="25"/>
        <v>11</v>
      </c>
      <c r="F278" s="60">
        <v>0.3</v>
      </c>
      <c r="G278" s="61">
        <f t="shared" si="26"/>
        <v>0</v>
      </c>
      <c r="H278" s="81">
        <v>12.0</v>
      </c>
      <c r="I278" s="63">
        <f t="shared" si="27"/>
        <v>132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56" t="s">
        <v>160</v>
      </c>
      <c r="B279" s="19">
        <v>6.0</v>
      </c>
      <c r="C279" s="85"/>
      <c r="D279" s="58">
        <v>0.0</v>
      </c>
      <c r="E279" s="59">
        <f t="shared" si="25"/>
        <v>6</v>
      </c>
      <c r="F279" s="60">
        <v>0.3</v>
      </c>
      <c r="G279" s="61">
        <f t="shared" si="26"/>
        <v>0</v>
      </c>
      <c r="H279" s="81">
        <v>12.0</v>
      </c>
      <c r="I279" s="63">
        <f t="shared" si="27"/>
        <v>72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56" t="s">
        <v>161</v>
      </c>
      <c r="B280" s="19">
        <v>2.0</v>
      </c>
      <c r="C280" s="85"/>
      <c r="D280" s="58">
        <v>0.0</v>
      </c>
      <c r="E280" s="59">
        <f t="shared" si="25"/>
        <v>2</v>
      </c>
      <c r="F280" s="60">
        <v>0.3</v>
      </c>
      <c r="G280" s="61">
        <f t="shared" si="26"/>
        <v>0</v>
      </c>
      <c r="H280" s="81">
        <v>12.0</v>
      </c>
      <c r="I280" s="63">
        <f t="shared" si="27"/>
        <v>24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56" t="s">
        <v>244</v>
      </c>
      <c r="B281" s="19">
        <v>1.0</v>
      </c>
      <c r="C281" s="85"/>
      <c r="D281" s="58">
        <v>0.0</v>
      </c>
      <c r="E281" s="59">
        <f t="shared" si="25"/>
        <v>1</v>
      </c>
      <c r="F281" s="60">
        <v>0.3</v>
      </c>
      <c r="G281" s="61">
        <f t="shared" si="26"/>
        <v>0</v>
      </c>
      <c r="H281" s="81">
        <v>12.0</v>
      </c>
      <c r="I281" s="63">
        <f t="shared" si="27"/>
        <v>12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56" t="s">
        <v>246</v>
      </c>
      <c r="B282" s="19">
        <v>5.0</v>
      </c>
      <c r="C282" s="85"/>
      <c r="D282" s="58">
        <v>0.0</v>
      </c>
      <c r="E282" s="59">
        <f t="shared" si="25"/>
        <v>5</v>
      </c>
      <c r="F282" s="60">
        <v>0.3</v>
      </c>
      <c r="G282" s="61">
        <f t="shared" si="26"/>
        <v>0</v>
      </c>
      <c r="H282" s="81">
        <v>12.0</v>
      </c>
      <c r="I282" s="63">
        <f t="shared" si="27"/>
        <v>60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56" t="s">
        <v>969</v>
      </c>
      <c r="B283" s="19">
        <v>3.0</v>
      </c>
      <c r="C283" s="85"/>
      <c r="D283" s="58">
        <v>0.0</v>
      </c>
      <c r="E283" s="59">
        <f t="shared" si="25"/>
        <v>3</v>
      </c>
      <c r="F283" s="60">
        <v>0.3</v>
      </c>
      <c r="G283" s="61">
        <f t="shared" si="26"/>
        <v>0</v>
      </c>
      <c r="H283" s="81">
        <v>12.0</v>
      </c>
      <c r="I283" s="63">
        <f t="shared" si="27"/>
        <v>36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56" t="s">
        <v>971</v>
      </c>
      <c r="B284" s="19">
        <v>1.0</v>
      </c>
      <c r="C284" s="85"/>
      <c r="D284" s="58">
        <v>0.0</v>
      </c>
      <c r="E284" s="59">
        <f t="shared" si="25"/>
        <v>1</v>
      </c>
      <c r="F284" s="60">
        <v>0.3</v>
      </c>
      <c r="G284" s="61">
        <f t="shared" si="26"/>
        <v>0</v>
      </c>
      <c r="H284" s="81">
        <v>12.0</v>
      </c>
      <c r="I284" s="63">
        <f t="shared" si="27"/>
        <v>12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56" t="s">
        <v>974</v>
      </c>
      <c r="B285" s="19">
        <v>2.0</v>
      </c>
      <c r="C285" s="57">
        <v>6.25</v>
      </c>
      <c r="D285" s="58">
        <v>0.0</v>
      </c>
      <c r="E285" s="59">
        <f t="shared" si="25"/>
        <v>2</v>
      </c>
      <c r="F285" s="60">
        <v>0.4</v>
      </c>
      <c r="G285" s="61">
        <f t="shared" si="26"/>
        <v>8.75</v>
      </c>
      <c r="H285" s="81">
        <v>12.0</v>
      </c>
      <c r="I285" s="63">
        <f t="shared" si="27"/>
        <v>24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02"/>
      <c r="B286" s="19">
        <f>SUM(B260:B285)</f>
        <v>179</v>
      </c>
      <c r="C286" s="103"/>
      <c r="D286" s="103"/>
      <c r="E286" s="103"/>
      <c r="F286" s="103"/>
      <c r="G286" s="103"/>
      <c r="H286" s="103"/>
      <c r="I286" s="50">
        <f>SUM(I260:I285)</f>
        <v>2152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02"/>
      <c r="B287" s="73"/>
      <c r="C287" s="103"/>
      <c r="D287" s="103"/>
      <c r="E287" s="103"/>
      <c r="F287" s="103"/>
      <c r="G287" s="103"/>
      <c r="H287" s="103"/>
      <c r="I287" s="7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2" t="s">
        <v>980</v>
      </c>
      <c r="B288" s="4"/>
      <c r="C288" s="4"/>
      <c r="D288" s="4"/>
      <c r="E288" s="4"/>
      <c r="F288" s="4"/>
      <c r="G288" s="4"/>
      <c r="H288" s="4"/>
      <c r="I288" s="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56" t="s">
        <v>172</v>
      </c>
      <c r="B289" s="19">
        <v>9.0</v>
      </c>
      <c r="C289" s="85"/>
      <c r="D289" s="58">
        <v>0.0</v>
      </c>
      <c r="E289" s="59">
        <f t="shared" ref="E289:E323" si="28">+B289-D289</f>
        <v>9</v>
      </c>
      <c r="F289" s="60">
        <v>0.3</v>
      </c>
      <c r="G289" s="61">
        <f t="shared" ref="G289:G323" si="29">C289+(C289*F289)</f>
        <v>0</v>
      </c>
      <c r="H289" s="81">
        <v>14.0</v>
      </c>
      <c r="I289" s="63">
        <f t="shared" ref="I289:I323" si="30">+E289*H289</f>
        <v>126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56" t="s">
        <v>174</v>
      </c>
      <c r="B290" s="19">
        <v>11.0</v>
      </c>
      <c r="C290" s="85"/>
      <c r="D290" s="58">
        <v>0.0</v>
      </c>
      <c r="E290" s="59">
        <f t="shared" si="28"/>
        <v>11</v>
      </c>
      <c r="F290" s="60">
        <v>0.3</v>
      </c>
      <c r="G290" s="61">
        <f t="shared" si="29"/>
        <v>0</v>
      </c>
      <c r="H290" s="81">
        <v>15.0</v>
      </c>
      <c r="I290" s="63">
        <f t="shared" si="30"/>
        <v>165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56" t="s">
        <v>229</v>
      </c>
      <c r="B291" s="19">
        <v>2.0</v>
      </c>
      <c r="C291" s="85"/>
      <c r="D291" s="58">
        <v>0.0</v>
      </c>
      <c r="E291" s="59">
        <f t="shared" si="28"/>
        <v>2</v>
      </c>
      <c r="F291" s="60">
        <v>0.3</v>
      </c>
      <c r="G291" s="61">
        <f t="shared" si="29"/>
        <v>0</v>
      </c>
      <c r="H291" s="81">
        <v>15.0</v>
      </c>
      <c r="I291" s="63">
        <f t="shared" si="30"/>
        <v>30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56" t="s">
        <v>134</v>
      </c>
      <c r="B292" s="19">
        <v>12.0</v>
      </c>
      <c r="C292" s="85"/>
      <c r="D292" s="58">
        <v>0.0</v>
      </c>
      <c r="E292" s="59">
        <f t="shared" si="28"/>
        <v>12</v>
      </c>
      <c r="F292" s="60">
        <v>0.3</v>
      </c>
      <c r="G292" s="61">
        <f t="shared" si="29"/>
        <v>0</v>
      </c>
      <c r="H292" s="81">
        <v>14.0</v>
      </c>
      <c r="I292" s="63">
        <f t="shared" si="30"/>
        <v>168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56" t="s">
        <v>138</v>
      </c>
      <c r="B293" s="19">
        <v>11.0</v>
      </c>
      <c r="C293" s="85"/>
      <c r="D293" s="58">
        <v>0.0</v>
      </c>
      <c r="E293" s="59">
        <f t="shared" si="28"/>
        <v>11</v>
      </c>
      <c r="F293" s="60">
        <v>0.3</v>
      </c>
      <c r="G293" s="61">
        <f t="shared" si="29"/>
        <v>0</v>
      </c>
      <c r="H293" s="81">
        <v>14.0</v>
      </c>
      <c r="I293" s="63">
        <f t="shared" si="30"/>
        <v>154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56" t="s">
        <v>994</v>
      </c>
      <c r="B294" s="19">
        <v>5.0</v>
      </c>
      <c r="C294" s="85"/>
      <c r="D294" s="58">
        <v>0.0</v>
      </c>
      <c r="E294" s="59">
        <f t="shared" si="28"/>
        <v>5</v>
      </c>
      <c r="F294" s="60">
        <v>0.3</v>
      </c>
      <c r="G294" s="61">
        <f t="shared" si="29"/>
        <v>0</v>
      </c>
      <c r="H294" s="81">
        <v>14.0</v>
      </c>
      <c r="I294" s="63">
        <f t="shared" si="30"/>
        <v>70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56" t="s">
        <v>144</v>
      </c>
      <c r="B295" s="19">
        <v>1.0</v>
      </c>
      <c r="C295" s="85"/>
      <c r="D295" s="58">
        <v>0.0</v>
      </c>
      <c r="E295" s="59">
        <f t="shared" si="28"/>
        <v>1</v>
      </c>
      <c r="F295" s="60">
        <v>0.3</v>
      </c>
      <c r="G295" s="61">
        <f t="shared" si="29"/>
        <v>0</v>
      </c>
      <c r="H295" s="81">
        <v>15.0</v>
      </c>
      <c r="I295" s="63">
        <f t="shared" si="30"/>
        <v>15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56" t="s">
        <v>150</v>
      </c>
      <c r="B296" s="19">
        <v>2.0</v>
      </c>
      <c r="C296" s="85"/>
      <c r="D296" s="58">
        <v>0.0</v>
      </c>
      <c r="E296" s="59">
        <f t="shared" si="28"/>
        <v>2</v>
      </c>
      <c r="F296" s="60">
        <v>0.3</v>
      </c>
      <c r="G296" s="61">
        <f t="shared" si="29"/>
        <v>0</v>
      </c>
      <c r="H296" s="81">
        <v>15.0</v>
      </c>
      <c r="I296" s="63">
        <f t="shared" si="30"/>
        <v>30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56" t="s">
        <v>315</v>
      </c>
      <c r="B297" s="19">
        <v>12.0</v>
      </c>
      <c r="C297" s="85"/>
      <c r="D297" s="58">
        <v>0.0</v>
      </c>
      <c r="E297" s="59">
        <f t="shared" si="28"/>
        <v>12</v>
      </c>
      <c r="F297" s="60">
        <v>0.3</v>
      </c>
      <c r="G297" s="61">
        <f t="shared" si="29"/>
        <v>0</v>
      </c>
      <c r="H297" s="81">
        <v>15.0</v>
      </c>
      <c r="I297" s="63">
        <f t="shared" si="30"/>
        <v>180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56" t="s">
        <v>317</v>
      </c>
      <c r="B298" s="19">
        <v>12.0</v>
      </c>
      <c r="C298" s="85"/>
      <c r="D298" s="58">
        <v>0.0</v>
      </c>
      <c r="E298" s="59">
        <f t="shared" si="28"/>
        <v>12</v>
      </c>
      <c r="F298" s="60">
        <v>0.3</v>
      </c>
      <c r="G298" s="61">
        <f t="shared" si="29"/>
        <v>0</v>
      </c>
      <c r="H298" s="81">
        <v>15.0</v>
      </c>
      <c r="I298" s="63">
        <f t="shared" si="30"/>
        <v>180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56" t="s">
        <v>320</v>
      </c>
      <c r="B299" s="19">
        <v>6.0</v>
      </c>
      <c r="C299" s="85"/>
      <c r="D299" s="58">
        <v>0.0</v>
      </c>
      <c r="E299" s="59">
        <f t="shared" si="28"/>
        <v>6</v>
      </c>
      <c r="F299" s="60">
        <v>0.3</v>
      </c>
      <c r="G299" s="61">
        <f t="shared" si="29"/>
        <v>0</v>
      </c>
      <c r="H299" s="81">
        <v>16.0</v>
      </c>
      <c r="I299" s="63">
        <f t="shared" si="30"/>
        <v>96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56" t="s">
        <v>323</v>
      </c>
      <c r="B300" s="19">
        <v>12.0</v>
      </c>
      <c r="C300" s="85"/>
      <c r="D300" s="58">
        <v>0.0</v>
      </c>
      <c r="E300" s="59">
        <f t="shared" si="28"/>
        <v>12</v>
      </c>
      <c r="F300" s="60">
        <v>0.3</v>
      </c>
      <c r="G300" s="61">
        <f t="shared" si="29"/>
        <v>0</v>
      </c>
      <c r="H300" s="81">
        <v>16.0</v>
      </c>
      <c r="I300" s="63">
        <f t="shared" si="30"/>
        <v>192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56" t="s">
        <v>325</v>
      </c>
      <c r="B301" s="19">
        <v>6.0</v>
      </c>
      <c r="C301" s="85"/>
      <c r="D301" s="58">
        <v>0.0</v>
      </c>
      <c r="E301" s="59">
        <f t="shared" si="28"/>
        <v>6</v>
      </c>
      <c r="F301" s="60">
        <v>0.3</v>
      </c>
      <c r="G301" s="61">
        <f t="shared" si="29"/>
        <v>0</v>
      </c>
      <c r="H301" s="81">
        <v>16.0</v>
      </c>
      <c r="I301" s="63">
        <f t="shared" si="30"/>
        <v>96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56" t="s">
        <v>151</v>
      </c>
      <c r="B302" s="19">
        <v>5.0</v>
      </c>
      <c r="C302" s="85"/>
      <c r="D302" s="58">
        <v>0.0</v>
      </c>
      <c r="E302" s="59">
        <f t="shared" si="28"/>
        <v>5</v>
      </c>
      <c r="F302" s="60">
        <v>0.3</v>
      </c>
      <c r="G302" s="61">
        <f t="shared" si="29"/>
        <v>0</v>
      </c>
      <c r="H302" s="81">
        <v>13.0</v>
      </c>
      <c r="I302" s="63">
        <f t="shared" si="30"/>
        <v>65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56" t="s">
        <v>153</v>
      </c>
      <c r="B303" s="19">
        <v>2.0</v>
      </c>
      <c r="C303" s="85"/>
      <c r="D303" s="58">
        <v>0.0</v>
      </c>
      <c r="E303" s="59">
        <f t="shared" si="28"/>
        <v>2</v>
      </c>
      <c r="F303" s="60">
        <v>0.3</v>
      </c>
      <c r="G303" s="61">
        <f t="shared" si="29"/>
        <v>0</v>
      </c>
      <c r="H303" s="81">
        <v>14.0</v>
      </c>
      <c r="I303" s="63">
        <f t="shared" si="30"/>
        <v>28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56" t="s">
        <v>155</v>
      </c>
      <c r="B304" s="19">
        <v>7.0</v>
      </c>
      <c r="C304" s="85"/>
      <c r="D304" s="58">
        <v>0.0</v>
      </c>
      <c r="E304" s="59">
        <f t="shared" si="28"/>
        <v>7</v>
      </c>
      <c r="F304" s="60">
        <v>0.3</v>
      </c>
      <c r="G304" s="61">
        <f t="shared" si="29"/>
        <v>0</v>
      </c>
      <c r="H304" s="81">
        <v>14.0</v>
      </c>
      <c r="I304" s="63">
        <f t="shared" si="30"/>
        <v>98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56" t="s">
        <v>1015</v>
      </c>
      <c r="B305" s="19">
        <v>13.0</v>
      </c>
      <c r="C305" s="85"/>
      <c r="D305" s="58">
        <v>0.0</v>
      </c>
      <c r="E305" s="59">
        <f t="shared" si="28"/>
        <v>13</v>
      </c>
      <c r="F305" s="60">
        <v>0.3</v>
      </c>
      <c r="G305" s="61">
        <f t="shared" si="29"/>
        <v>0</v>
      </c>
      <c r="H305" s="81">
        <v>17.0</v>
      </c>
      <c r="I305" s="63">
        <f t="shared" si="30"/>
        <v>221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56" t="s">
        <v>1018</v>
      </c>
      <c r="B306" s="19">
        <v>13.0</v>
      </c>
      <c r="C306" s="85"/>
      <c r="D306" s="58">
        <v>0.0</v>
      </c>
      <c r="E306" s="59">
        <f t="shared" si="28"/>
        <v>13</v>
      </c>
      <c r="F306" s="60">
        <v>0.3</v>
      </c>
      <c r="G306" s="61">
        <f t="shared" si="29"/>
        <v>0</v>
      </c>
      <c r="H306" s="81">
        <v>17.0</v>
      </c>
      <c r="I306" s="63">
        <f t="shared" si="30"/>
        <v>221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56" t="s">
        <v>1022</v>
      </c>
      <c r="B307" s="19">
        <v>1.0</v>
      </c>
      <c r="C307" s="85"/>
      <c r="D307" s="58">
        <v>0.0</v>
      </c>
      <c r="E307" s="59">
        <f t="shared" si="28"/>
        <v>1</v>
      </c>
      <c r="F307" s="60">
        <v>0.3</v>
      </c>
      <c r="G307" s="61">
        <f t="shared" si="29"/>
        <v>0</v>
      </c>
      <c r="H307" s="81">
        <v>23.0</v>
      </c>
      <c r="I307" s="63">
        <f t="shared" si="30"/>
        <v>23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56" t="s">
        <v>283</v>
      </c>
      <c r="B308" s="19">
        <v>7.0</v>
      </c>
      <c r="C308" s="85"/>
      <c r="D308" s="58">
        <v>0.0</v>
      </c>
      <c r="E308" s="59">
        <f t="shared" si="28"/>
        <v>7</v>
      </c>
      <c r="F308" s="60">
        <v>0.3</v>
      </c>
      <c r="G308" s="61">
        <f t="shared" si="29"/>
        <v>0</v>
      </c>
      <c r="H308" s="81">
        <v>17.0</v>
      </c>
      <c r="I308" s="63">
        <f t="shared" si="30"/>
        <v>119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56" t="s">
        <v>286</v>
      </c>
      <c r="B309" s="19">
        <v>6.0</v>
      </c>
      <c r="C309" s="85"/>
      <c r="D309" s="58">
        <v>0.0</v>
      </c>
      <c r="E309" s="59">
        <f t="shared" si="28"/>
        <v>6</v>
      </c>
      <c r="F309" s="60">
        <v>0.3</v>
      </c>
      <c r="G309" s="61">
        <f t="shared" si="29"/>
        <v>0</v>
      </c>
      <c r="H309" s="81">
        <v>18.0</v>
      </c>
      <c r="I309" s="63">
        <f t="shared" si="30"/>
        <v>108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56" t="s">
        <v>289</v>
      </c>
      <c r="B310" s="19">
        <v>2.0</v>
      </c>
      <c r="C310" s="85"/>
      <c r="D310" s="58">
        <v>0.0</v>
      </c>
      <c r="E310" s="59">
        <f t="shared" si="28"/>
        <v>2</v>
      </c>
      <c r="F310" s="60">
        <v>0.3</v>
      </c>
      <c r="G310" s="61">
        <f t="shared" si="29"/>
        <v>0</v>
      </c>
      <c r="H310" s="81">
        <v>18.0</v>
      </c>
      <c r="I310" s="63">
        <f t="shared" si="30"/>
        <v>36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56" t="s">
        <v>291</v>
      </c>
      <c r="B311" s="19">
        <v>2.0</v>
      </c>
      <c r="C311" s="85"/>
      <c r="D311" s="58">
        <v>0.0</v>
      </c>
      <c r="E311" s="59">
        <f t="shared" si="28"/>
        <v>2</v>
      </c>
      <c r="F311" s="60">
        <v>0.3</v>
      </c>
      <c r="G311" s="61">
        <f t="shared" si="29"/>
        <v>0</v>
      </c>
      <c r="H311" s="81">
        <v>72.0</v>
      </c>
      <c r="I311" s="63">
        <f t="shared" si="30"/>
        <v>144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56" t="s">
        <v>294</v>
      </c>
      <c r="B312" s="19">
        <v>5.0</v>
      </c>
      <c r="C312" s="85"/>
      <c r="D312" s="58">
        <v>0.0</v>
      </c>
      <c r="E312" s="59">
        <f t="shared" si="28"/>
        <v>5</v>
      </c>
      <c r="F312" s="60">
        <v>0.3</v>
      </c>
      <c r="G312" s="61">
        <f t="shared" si="29"/>
        <v>0</v>
      </c>
      <c r="H312" s="81">
        <v>25.0</v>
      </c>
      <c r="I312" s="63">
        <f t="shared" si="30"/>
        <v>125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56" t="s">
        <v>331</v>
      </c>
      <c r="B313" s="19">
        <v>8.0</v>
      </c>
      <c r="C313" s="85"/>
      <c r="D313" s="58">
        <v>0.0</v>
      </c>
      <c r="E313" s="59">
        <f t="shared" si="28"/>
        <v>8</v>
      </c>
      <c r="F313" s="60">
        <v>0.3</v>
      </c>
      <c r="G313" s="61">
        <f t="shared" si="29"/>
        <v>0</v>
      </c>
      <c r="H313" s="81">
        <v>14.0</v>
      </c>
      <c r="I313" s="63">
        <f t="shared" si="30"/>
        <v>112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56" t="s">
        <v>335</v>
      </c>
      <c r="B314" s="19">
        <v>10.0</v>
      </c>
      <c r="C314" s="85"/>
      <c r="D314" s="58">
        <v>0.0</v>
      </c>
      <c r="E314" s="59">
        <f t="shared" si="28"/>
        <v>10</v>
      </c>
      <c r="F314" s="60">
        <v>0.3</v>
      </c>
      <c r="G314" s="61">
        <f t="shared" si="29"/>
        <v>0</v>
      </c>
      <c r="H314" s="81">
        <v>15.0</v>
      </c>
      <c r="I314" s="63">
        <f t="shared" si="30"/>
        <v>150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56" t="s">
        <v>1045</v>
      </c>
      <c r="B315" s="19">
        <v>0.0</v>
      </c>
      <c r="C315" s="85"/>
      <c r="D315" s="58">
        <v>0.0</v>
      </c>
      <c r="E315" s="59">
        <f t="shared" si="28"/>
        <v>0</v>
      </c>
      <c r="F315" s="60">
        <v>0.3</v>
      </c>
      <c r="G315" s="61">
        <f t="shared" si="29"/>
        <v>0</v>
      </c>
      <c r="H315" s="81">
        <v>15.0</v>
      </c>
      <c r="I315" s="63">
        <f t="shared" si="30"/>
        <v>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56" t="s">
        <v>1049</v>
      </c>
      <c r="B316" s="19">
        <v>8.0</v>
      </c>
      <c r="C316" s="85"/>
      <c r="D316" s="58">
        <v>0.0</v>
      </c>
      <c r="E316" s="59">
        <f t="shared" si="28"/>
        <v>8</v>
      </c>
      <c r="F316" s="60">
        <v>0.3</v>
      </c>
      <c r="G316" s="61">
        <f t="shared" si="29"/>
        <v>0</v>
      </c>
      <c r="H316" s="81">
        <v>15.0</v>
      </c>
      <c r="I316" s="63">
        <f t="shared" si="30"/>
        <v>120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56" t="s">
        <v>1052</v>
      </c>
      <c r="B317" s="19">
        <v>8.0</v>
      </c>
      <c r="C317" s="85"/>
      <c r="D317" s="58">
        <v>0.0</v>
      </c>
      <c r="E317" s="59">
        <f t="shared" si="28"/>
        <v>8</v>
      </c>
      <c r="F317" s="60">
        <v>0.3</v>
      </c>
      <c r="G317" s="61">
        <f t="shared" si="29"/>
        <v>0</v>
      </c>
      <c r="H317" s="81">
        <v>15.0</v>
      </c>
      <c r="I317" s="63">
        <f t="shared" si="30"/>
        <v>120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56" t="s">
        <v>1054</v>
      </c>
      <c r="B318" s="19">
        <v>10.0</v>
      </c>
      <c r="C318" s="85"/>
      <c r="D318" s="58">
        <v>0.0</v>
      </c>
      <c r="E318" s="59">
        <f t="shared" si="28"/>
        <v>10</v>
      </c>
      <c r="F318" s="60">
        <v>0.3</v>
      </c>
      <c r="G318" s="61">
        <f t="shared" si="29"/>
        <v>0</v>
      </c>
      <c r="H318" s="81">
        <v>15.0</v>
      </c>
      <c r="I318" s="63">
        <f t="shared" si="30"/>
        <v>150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56" t="s">
        <v>1056</v>
      </c>
      <c r="B319" s="19">
        <v>3.0</v>
      </c>
      <c r="C319" s="85"/>
      <c r="D319" s="58">
        <v>0.0</v>
      </c>
      <c r="E319" s="59">
        <f t="shared" si="28"/>
        <v>3</v>
      </c>
      <c r="F319" s="60">
        <v>0.3</v>
      </c>
      <c r="G319" s="61">
        <f t="shared" si="29"/>
        <v>0</v>
      </c>
      <c r="H319" s="81">
        <v>15.0</v>
      </c>
      <c r="I319" s="63">
        <f t="shared" si="30"/>
        <v>45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56" t="s">
        <v>1060</v>
      </c>
      <c r="B320" s="19">
        <v>2.0</v>
      </c>
      <c r="C320" s="85"/>
      <c r="D320" s="58">
        <v>0.0</v>
      </c>
      <c r="E320" s="59">
        <f t="shared" si="28"/>
        <v>2</v>
      </c>
      <c r="F320" s="60">
        <v>0.3</v>
      </c>
      <c r="G320" s="61">
        <f t="shared" si="29"/>
        <v>0</v>
      </c>
      <c r="H320" s="81">
        <v>15.0</v>
      </c>
      <c r="I320" s="63">
        <f t="shared" si="30"/>
        <v>30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56" t="s">
        <v>1063</v>
      </c>
      <c r="B321" s="19">
        <v>7.0</v>
      </c>
      <c r="C321" s="57">
        <v>8.0</v>
      </c>
      <c r="D321" s="58">
        <v>0.0</v>
      </c>
      <c r="E321" s="59">
        <f t="shared" si="28"/>
        <v>7</v>
      </c>
      <c r="F321" s="60">
        <v>0.8</v>
      </c>
      <c r="G321" s="61">
        <f t="shared" si="29"/>
        <v>14.4</v>
      </c>
      <c r="H321" s="81">
        <v>17.0</v>
      </c>
      <c r="I321" s="63">
        <f t="shared" si="30"/>
        <v>119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56" t="s">
        <v>1068</v>
      </c>
      <c r="B322" s="19">
        <v>6.0</v>
      </c>
      <c r="C322" s="57">
        <v>8.0</v>
      </c>
      <c r="D322" s="58">
        <v>0.0</v>
      </c>
      <c r="E322" s="59">
        <f t="shared" si="28"/>
        <v>6</v>
      </c>
      <c r="F322" s="60">
        <v>0.8</v>
      </c>
      <c r="G322" s="61">
        <f t="shared" si="29"/>
        <v>14.4</v>
      </c>
      <c r="H322" s="81">
        <v>25.0</v>
      </c>
      <c r="I322" s="63">
        <f t="shared" si="30"/>
        <v>150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56" t="s">
        <v>1070</v>
      </c>
      <c r="B323" s="19">
        <v>3.0</v>
      </c>
      <c r="C323" s="57">
        <v>8.0</v>
      </c>
      <c r="D323" s="58">
        <v>0.0</v>
      </c>
      <c r="E323" s="59">
        <f t="shared" si="28"/>
        <v>3</v>
      </c>
      <c r="F323" s="60">
        <v>0.8</v>
      </c>
      <c r="G323" s="61">
        <f t="shared" si="29"/>
        <v>14.4</v>
      </c>
      <c r="H323" s="81">
        <v>17.0</v>
      </c>
      <c r="I323" s="63">
        <f t="shared" si="30"/>
        <v>51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02"/>
      <c r="B324" s="19">
        <f>SUM(B292:B323)</f>
        <v>207</v>
      </c>
      <c r="C324" s="103"/>
      <c r="D324" s="103"/>
      <c r="E324" s="103"/>
      <c r="F324" s="103"/>
      <c r="G324" s="103"/>
      <c r="H324" s="103"/>
      <c r="I324" s="50">
        <f>SUM(I289:I323)</f>
        <v>3737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02"/>
      <c r="B325" s="73"/>
      <c r="C325" s="103"/>
      <c r="D325" s="103"/>
      <c r="E325" s="103"/>
      <c r="F325" s="103"/>
      <c r="G325" s="103"/>
      <c r="H325" s="103"/>
      <c r="I325" s="7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2" t="s">
        <v>1078</v>
      </c>
      <c r="B326" s="4"/>
      <c r="C326" s="4"/>
      <c r="D326" s="4"/>
      <c r="E326" s="4"/>
      <c r="F326" s="4"/>
      <c r="G326" s="4"/>
      <c r="H326" s="4"/>
      <c r="I326" s="6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19" t="s">
        <v>681</v>
      </c>
      <c r="B327" s="120">
        <v>1.0</v>
      </c>
      <c r="C327" s="85"/>
      <c r="D327" s="58">
        <v>0.0</v>
      </c>
      <c r="E327" s="59">
        <f t="shared" ref="E327:E595" si="31">+B327-D327</f>
        <v>1</v>
      </c>
      <c r="F327" s="60">
        <v>0.3</v>
      </c>
      <c r="G327" s="61">
        <f t="shared" ref="G327:G353" si="32">C327+(C327*F327)</f>
        <v>0</v>
      </c>
      <c r="H327" s="81">
        <v>12.0</v>
      </c>
      <c r="I327" s="63">
        <f t="shared" ref="I327:I595" si="33">+E327*H327</f>
        <v>12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19" t="s">
        <v>684</v>
      </c>
      <c r="B328" s="120">
        <v>2.0</v>
      </c>
      <c r="C328" s="85"/>
      <c r="D328" s="58">
        <v>0.0</v>
      </c>
      <c r="E328" s="59">
        <f t="shared" si="31"/>
        <v>2</v>
      </c>
      <c r="F328" s="60">
        <v>0.3</v>
      </c>
      <c r="G328" s="61">
        <f t="shared" si="32"/>
        <v>0</v>
      </c>
      <c r="H328" s="81">
        <v>12.0</v>
      </c>
      <c r="I328" s="63">
        <f t="shared" si="33"/>
        <v>24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19" t="s">
        <v>686</v>
      </c>
      <c r="B329" s="120">
        <v>2.0</v>
      </c>
      <c r="C329" s="85"/>
      <c r="D329" s="58">
        <v>0.0</v>
      </c>
      <c r="E329" s="59">
        <f t="shared" si="31"/>
        <v>2</v>
      </c>
      <c r="F329" s="60">
        <v>0.3</v>
      </c>
      <c r="G329" s="61">
        <f t="shared" si="32"/>
        <v>0</v>
      </c>
      <c r="H329" s="81">
        <v>13.0</v>
      </c>
      <c r="I329" s="63">
        <f t="shared" si="33"/>
        <v>26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19" t="s">
        <v>688</v>
      </c>
      <c r="B330" s="120">
        <v>0.0</v>
      </c>
      <c r="C330" s="85"/>
      <c r="D330" s="58">
        <v>0.0</v>
      </c>
      <c r="E330" s="59">
        <f t="shared" si="31"/>
        <v>0</v>
      </c>
      <c r="F330" s="60">
        <v>0.3</v>
      </c>
      <c r="G330" s="61">
        <f t="shared" si="32"/>
        <v>0</v>
      </c>
      <c r="H330" s="81">
        <v>13.5</v>
      </c>
      <c r="I330" s="63">
        <f t="shared" si="33"/>
        <v>0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19" t="s">
        <v>690</v>
      </c>
      <c r="B331" s="120">
        <v>1.0</v>
      </c>
      <c r="C331" s="85"/>
      <c r="D331" s="58">
        <v>0.0</v>
      </c>
      <c r="E331" s="59">
        <f t="shared" si="31"/>
        <v>1</v>
      </c>
      <c r="F331" s="60">
        <v>0.3</v>
      </c>
      <c r="G331" s="61">
        <f t="shared" si="32"/>
        <v>0</v>
      </c>
      <c r="H331" s="81">
        <v>12.0</v>
      </c>
      <c r="I331" s="63">
        <f t="shared" si="33"/>
        <v>12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19" t="s">
        <v>692</v>
      </c>
      <c r="B332" s="120">
        <v>2.0</v>
      </c>
      <c r="C332" s="85"/>
      <c r="D332" s="58">
        <v>0.0</v>
      </c>
      <c r="E332" s="59">
        <f t="shared" si="31"/>
        <v>2</v>
      </c>
      <c r="F332" s="60">
        <v>0.3</v>
      </c>
      <c r="G332" s="61">
        <f t="shared" si="32"/>
        <v>0</v>
      </c>
      <c r="H332" s="81">
        <v>11.0</v>
      </c>
      <c r="I332" s="63">
        <f t="shared" si="33"/>
        <v>22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19" t="s">
        <v>694</v>
      </c>
      <c r="B333" s="120">
        <v>3.0</v>
      </c>
      <c r="C333" s="85"/>
      <c r="D333" s="58">
        <v>0.0</v>
      </c>
      <c r="E333" s="59">
        <f t="shared" si="31"/>
        <v>3</v>
      </c>
      <c r="F333" s="60">
        <v>0.3</v>
      </c>
      <c r="G333" s="61">
        <f t="shared" si="32"/>
        <v>0</v>
      </c>
      <c r="H333" s="81">
        <v>9.0</v>
      </c>
      <c r="I333" s="63">
        <f t="shared" si="33"/>
        <v>27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19" t="s">
        <v>695</v>
      </c>
      <c r="B334" s="120">
        <v>3.0</v>
      </c>
      <c r="C334" s="85"/>
      <c r="D334" s="58">
        <v>0.0</v>
      </c>
      <c r="E334" s="59">
        <f t="shared" si="31"/>
        <v>3</v>
      </c>
      <c r="F334" s="60">
        <v>0.3</v>
      </c>
      <c r="G334" s="61">
        <f t="shared" si="32"/>
        <v>0</v>
      </c>
      <c r="H334" s="81">
        <v>9.0</v>
      </c>
      <c r="I334" s="63">
        <f t="shared" si="33"/>
        <v>27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19" t="s">
        <v>697</v>
      </c>
      <c r="B335" s="120">
        <v>1.0</v>
      </c>
      <c r="C335" s="85"/>
      <c r="D335" s="58">
        <v>0.0</v>
      </c>
      <c r="E335" s="59">
        <f t="shared" si="31"/>
        <v>1</v>
      </c>
      <c r="F335" s="60">
        <v>0.3</v>
      </c>
      <c r="G335" s="61">
        <f t="shared" si="32"/>
        <v>0</v>
      </c>
      <c r="H335" s="81">
        <v>11.0</v>
      </c>
      <c r="I335" s="63">
        <f t="shared" si="33"/>
        <v>11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19" t="s">
        <v>699</v>
      </c>
      <c r="B336" s="120">
        <v>3.0</v>
      </c>
      <c r="C336" s="85"/>
      <c r="D336" s="58">
        <v>0.0</v>
      </c>
      <c r="E336" s="59">
        <f t="shared" si="31"/>
        <v>3</v>
      </c>
      <c r="F336" s="60">
        <v>0.3</v>
      </c>
      <c r="G336" s="61">
        <f t="shared" si="32"/>
        <v>0</v>
      </c>
      <c r="H336" s="81">
        <v>9.0</v>
      </c>
      <c r="I336" s="63">
        <f t="shared" si="33"/>
        <v>27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19" t="s">
        <v>702</v>
      </c>
      <c r="B337" s="120">
        <v>2.0</v>
      </c>
      <c r="C337" s="85"/>
      <c r="D337" s="58">
        <v>0.0</v>
      </c>
      <c r="E337" s="59">
        <f t="shared" si="31"/>
        <v>2</v>
      </c>
      <c r="F337" s="60">
        <v>0.3</v>
      </c>
      <c r="G337" s="61">
        <f t="shared" si="32"/>
        <v>0</v>
      </c>
      <c r="H337" s="81">
        <v>11.0</v>
      </c>
      <c r="I337" s="63">
        <f t="shared" si="33"/>
        <v>22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19" t="s">
        <v>705</v>
      </c>
      <c r="B338" s="120">
        <v>1.0</v>
      </c>
      <c r="C338" s="85"/>
      <c r="D338" s="58">
        <v>0.0</v>
      </c>
      <c r="E338" s="59">
        <f t="shared" si="31"/>
        <v>1</v>
      </c>
      <c r="F338" s="60">
        <v>0.3</v>
      </c>
      <c r="G338" s="61">
        <f t="shared" si="32"/>
        <v>0</v>
      </c>
      <c r="H338" s="81">
        <v>11.0</v>
      </c>
      <c r="I338" s="63">
        <f t="shared" si="33"/>
        <v>11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19" t="s">
        <v>707</v>
      </c>
      <c r="B339" s="120">
        <v>2.0</v>
      </c>
      <c r="C339" s="85"/>
      <c r="D339" s="58">
        <v>0.0</v>
      </c>
      <c r="E339" s="59">
        <f t="shared" si="31"/>
        <v>2</v>
      </c>
      <c r="F339" s="60">
        <v>0.3</v>
      </c>
      <c r="G339" s="61">
        <f t="shared" si="32"/>
        <v>0</v>
      </c>
      <c r="H339" s="81">
        <v>10.0</v>
      </c>
      <c r="I339" s="63">
        <f t="shared" si="33"/>
        <v>20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19" t="s">
        <v>709</v>
      </c>
      <c r="B340" s="120">
        <v>0.0</v>
      </c>
      <c r="C340" s="85"/>
      <c r="D340" s="58">
        <v>0.0</v>
      </c>
      <c r="E340" s="59">
        <f t="shared" si="31"/>
        <v>0</v>
      </c>
      <c r="F340" s="60">
        <v>0.3</v>
      </c>
      <c r="G340" s="61">
        <f t="shared" si="32"/>
        <v>0</v>
      </c>
      <c r="H340" s="81">
        <v>11.0</v>
      </c>
      <c r="I340" s="63">
        <f t="shared" si="33"/>
        <v>0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19" t="s">
        <v>711</v>
      </c>
      <c r="B341" s="120">
        <v>7.0</v>
      </c>
      <c r="C341" s="85"/>
      <c r="D341" s="58">
        <v>0.0</v>
      </c>
      <c r="E341" s="59">
        <f t="shared" si="31"/>
        <v>7</v>
      </c>
      <c r="F341" s="60">
        <v>0.3</v>
      </c>
      <c r="G341" s="61">
        <f t="shared" si="32"/>
        <v>0</v>
      </c>
      <c r="H341" s="81">
        <v>10.0</v>
      </c>
      <c r="I341" s="63">
        <f t="shared" si="33"/>
        <v>70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19" t="s">
        <v>714</v>
      </c>
      <c r="B342" s="120">
        <v>0.0</v>
      </c>
      <c r="C342" s="85"/>
      <c r="D342" s="58">
        <v>0.0</v>
      </c>
      <c r="E342" s="59">
        <f t="shared" si="31"/>
        <v>0</v>
      </c>
      <c r="F342" s="60">
        <v>0.3</v>
      </c>
      <c r="G342" s="61">
        <f t="shared" si="32"/>
        <v>0</v>
      </c>
      <c r="H342" s="81">
        <v>10.0</v>
      </c>
      <c r="I342" s="63">
        <f t="shared" si="33"/>
        <v>0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19" t="s">
        <v>716</v>
      </c>
      <c r="B343" s="120">
        <v>0.0</v>
      </c>
      <c r="C343" s="85"/>
      <c r="D343" s="58">
        <v>0.0</v>
      </c>
      <c r="E343" s="59">
        <f t="shared" si="31"/>
        <v>0</v>
      </c>
      <c r="F343" s="60">
        <v>0.3</v>
      </c>
      <c r="G343" s="61">
        <f t="shared" si="32"/>
        <v>0</v>
      </c>
      <c r="H343" s="81">
        <v>12.0</v>
      </c>
      <c r="I343" s="63">
        <f t="shared" si="33"/>
        <v>0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19" t="s">
        <v>719</v>
      </c>
      <c r="B344" s="120">
        <v>2.0</v>
      </c>
      <c r="C344" s="85"/>
      <c r="D344" s="58">
        <v>0.0</v>
      </c>
      <c r="E344" s="59">
        <f t="shared" si="31"/>
        <v>2</v>
      </c>
      <c r="F344" s="60">
        <v>0.3</v>
      </c>
      <c r="G344" s="61">
        <f t="shared" si="32"/>
        <v>0</v>
      </c>
      <c r="H344" s="81">
        <v>10.0</v>
      </c>
      <c r="I344" s="63">
        <f t="shared" si="33"/>
        <v>20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19" t="s">
        <v>720</v>
      </c>
      <c r="B345" s="120">
        <v>2.0</v>
      </c>
      <c r="C345" s="85"/>
      <c r="D345" s="58">
        <v>0.0</v>
      </c>
      <c r="E345" s="59">
        <f t="shared" si="31"/>
        <v>2</v>
      </c>
      <c r="F345" s="60">
        <v>0.3</v>
      </c>
      <c r="G345" s="61">
        <f t="shared" si="32"/>
        <v>0</v>
      </c>
      <c r="H345" s="81">
        <v>12.0</v>
      </c>
      <c r="I345" s="63">
        <f t="shared" si="33"/>
        <v>24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19" t="s">
        <v>723</v>
      </c>
      <c r="B346" s="120">
        <v>2.0</v>
      </c>
      <c r="C346" s="85"/>
      <c r="D346" s="58">
        <v>0.0</v>
      </c>
      <c r="E346" s="59">
        <f t="shared" si="31"/>
        <v>2</v>
      </c>
      <c r="F346" s="60">
        <v>0.3</v>
      </c>
      <c r="G346" s="61">
        <f t="shared" si="32"/>
        <v>0</v>
      </c>
      <c r="H346" s="81">
        <v>12.0</v>
      </c>
      <c r="I346" s="63">
        <f t="shared" si="33"/>
        <v>24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19" t="s">
        <v>725</v>
      </c>
      <c r="B347" s="120">
        <v>3.0</v>
      </c>
      <c r="C347" s="85"/>
      <c r="D347" s="58">
        <v>0.0</v>
      </c>
      <c r="E347" s="59">
        <f t="shared" si="31"/>
        <v>3</v>
      </c>
      <c r="F347" s="60">
        <v>0.3</v>
      </c>
      <c r="G347" s="61">
        <f t="shared" si="32"/>
        <v>0</v>
      </c>
      <c r="H347" s="81">
        <v>12.0</v>
      </c>
      <c r="I347" s="63">
        <f t="shared" si="33"/>
        <v>36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19" t="s">
        <v>728</v>
      </c>
      <c r="B348" s="120">
        <v>2.0</v>
      </c>
      <c r="C348" s="85"/>
      <c r="D348" s="58">
        <v>0.0</v>
      </c>
      <c r="E348" s="59">
        <f t="shared" si="31"/>
        <v>2</v>
      </c>
      <c r="F348" s="60">
        <v>0.3</v>
      </c>
      <c r="G348" s="61">
        <f t="shared" si="32"/>
        <v>0</v>
      </c>
      <c r="H348" s="81">
        <v>11.0</v>
      </c>
      <c r="I348" s="63">
        <f t="shared" si="33"/>
        <v>22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19" t="s">
        <v>731</v>
      </c>
      <c r="B349" s="120">
        <v>3.0</v>
      </c>
      <c r="C349" s="85"/>
      <c r="D349" s="58">
        <v>0.0</v>
      </c>
      <c r="E349" s="59">
        <f t="shared" si="31"/>
        <v>3</v>
      </c>
      <c r="F349" s="60">
        <v>0.3</v>
      </c>
      <c r="G349" s="61">
        <f t="shared" si="32"/>
        <v>0</v>
      </c>
      <c r="H349" s="81">
        <v>10.0</v>
      </c>
      <c r="I349" s="63">
        <f t="shared" si="33"/>
        <v>30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19" t="s">
        <v>733</v>
      </c>
      <c r="B350" s="120">
        <v>0.0</v>
      </c>
      <c r="C350" s="85"/>
      <c r="D350" s="58">
        <v>0.0</v>
      </c>
      <c r="E350" s="59">
        <f t="shared" si="31"/>
        <v>0</v>
      </c>
      <c r="F350" s="60">
        <v>0.3</v>
      </c>
      <c r="G350" s="61">
        <f t="shared" si="32"/>
        <v>0</v>
      </c>
      <c r="H350" s="81">
        <v>11.0</v>
      </c>
      <c r="I350" s="63">
        <f t="shared" si="33"/>
        <v>0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19" t="s">
        <v>736</v>
      </c>
      <c r="B351" s="120">
        <v>0.0</v>
      </c>
      <c r="C351" s="85"/>
      <c r="D351" s="58">
        <v>0.0</v>
      </c>
      <c r="E351" s="59">
        <f t="shared" si="31"/>
        <v>0</v>
      </c>
      <c r="F351" s="60">
        <v>0.3</v>
      </c>
      <c r="G351" s="61">
        <f t="shared" si="32"/>
        <v>0</v>
      </c>
      <c r="H351" s="81">
        <v>11.0</v>
      </c>
      <c r="I351" s="63">
        <f t="shared" si="33"/>
        <v>0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19" t="s">
        <v>738</v>
      </c>
      <c r="B352" s="120">
        <v>0.0</v>
      </c>
      <c r="C352" s="85"/>
      <c r="D352" s="58">
        <v>0.0</v>
      </c>
      <c r="E352" s="59">
        <f t="shared" si="31"/>
        <v>0</v>
      </c>
      <c r="F352" s="60">
        <v>0.3</v>
      </c>
      <c r="G352" s="61">
        <f t="shared" si="32"/>
        <v>0</v>
      </c>
      <c r="H352" s="81">
        <v>12.0</v>
      </c>
      <c r="I352" s="63">
        <f t="shared" si="33"/>
        <v>0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19" t="s">
        <v>740</v>
      </c>
      <c r="B353" s="120">
        <v>0.0</v>
      </c>
      <c r="C353" s="85"/>
      <c r="D353" s="58">
        <v>0.0</v>
      </c>
      <c r="E353" s="59">
        <f t="shared" si="31"/>
        <v>0</v>
      </c>
      <c r="F353" s="60">
        <v>0.3</v>
      </c>
      <c r="G353" s="61">
        <f t="shared" si="32"/>
        <v>0</v>
      </c>
      <c r="H353" s="81">
        <v>12.0</v>
      </c>
      <c r="I353" s="63">
        <f t="shared" si="33"/>
        <v>0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19" t="s">
        <v>742</v>
      </c>
      <c r="B354" s="120">
        <v>0.0</v>
      </c>
      <c r="C354" s="85"/>
      <c r="D354" s="58">
        <v>0.0</v>
      </c>
      <c r="E354" s="59">
        <f t="shared" si="31"/>
        <v>0</v>
      </c>
      <c r="F354" s="112"/>
      <c r="G354" s="113"/>
      <c r="H354" s="121"/>
      <c r="I354" s="63">
        <f t="shared" si="33"/>
        <v>0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19" t="s">
        <v>743</v>
      </c>
      <c r="B355" s="120">
        <v>0.0</v>
      </c>
      <c r="C355" s="85"/>
      <c r="D355" s="58">
        <v>0.0</v>
      </c>
      <c r="E355" s="59">
        <f t="shared" si="31"/>
        <v>0</v>
      </c>
      <c r="F355" s="112"/>
      <c r="G355" s="113"/>
      <c r="H355" s="121"/>
      <c r="I355" s="63">
        <f t="shared" si="33"/>
        <v>0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19" t="s">
        <v>744</v>
      </c>
      <c r="B356" s="120">
        <v>0.0</v>
      </c>
      <c r="C356" s="85"/>
      <c r="D356" s="58">
        <v>0.0</v>
      </c>
      <c r="E356" s="59">
        <f t="shared" si="31"/>
        <v>0</v>
      </c>
      <c r="F356" s="60">
        <v>0.3</v>
      </c>
      <c r="G356" s="61">
        <f t="shared" ref="G356:G595" si="34">C356+(C356*F356)</f>
        <v>0</v>
      </c>
      <c r="H356" s="81">
        <v>11.0</v>
      </c>
      <c r="I356" s="63">
        <f t="shared" si="33"/>
        <v>0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19" t="s">
        <v>745</v>
      </c>
      <c r="B357" s="120">
        <v>0.0</v>
      </c>
      <c r="C357" s="85"/>
      <c r="D357" s="58">
        <v>0.0</v>
      </c>
      <c r="E357" s="59">
        <f t="shared" si="31"/>
        <v>0</v>
      </c>
      <c r="F357" s="60">
        <v>0.3</v>
      </c>
      <c r="G357" s="61">
        <f t="shared" si="34"/>
        <v>0</v>
      </c>
      <c r="H357" s="81">
        <v>10.0</v>
      </c>
      <c r="I357" s="63">
        <f t="shared" si="33"/>
        <v>0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19" t="s">
        <v>747</v>
      </c>
      <c r="B358" s="120">
        <v>2.0</v>
      </c>
      <c r="C358" s="85"/>
      <c r="D358" s="58">
        <v>0.0</v>
      </c>
      <c r="E358" s="59">
        <f t="shared" si="31"/>
        <v>2</v>
      </c>
      <c r="F358" s="60">
        <v>0.3</v>
      </c>
      <c r="G358" s="61">
        <f t="shared" si="34"/>
        <v>0</v>
      </c>
      <c r="H358" s="81">
        <v>12.0</v>
      </c>
      <c r="I358" s="63">
        <f t="shared" si="33"/>
        <v>24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19" t="s">
        <v>750</v>
      </c>
      <c r="B359" s="120">
        <v>2.0</v>
      </c>
      <c r="C359" s="85"/>
      <c r="D359" s="58">
        <v>0.0</v>
      </c>
      <c r="E359" s="59">
        <f t="shared" si="31"/>
        <v>2</v>
      </c>
      <c r="F359" s="60">
        <v>0.3</v>
      </c>
      <c r="G359" s="61">
        <f t="shared" si="34"/>
        <v>0</v>
      </c>
      <c r="H359" s="81">
        <v>11.0</v>
      </c>
      <c r="I359" s="63">
        <f t="shared" si="33"/>
        <v>22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19" t="s">
        <v>752</v>
      </c>
      <c r="B360" s="120">
        <v>2.0</v>
      </c>
      <c r="C360" s="85"/>
      <c r="D360" s="58">
        <v>0.0</v>
      </c>
      <c r="E360" s="59">
        <f t="shared" si="31"/>
        <v>2</v>
      </c>
      <c r="F360" s="60">
        <v>0.3</v>
      </c>
      <c r="G360" s="61">
        <f t="shared" si="34"/>
        <v>0</v>
      </c>
      <c r="H360" s="81">
        <v>12.0</v>
      </c>
      <c r="I360" s="63">
        <f t="shared" si="33"/>
        <v>24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19" t="s">
        <v>754</v>
      </c>
      <c r="B361" s="120">
        <v>2.0</v>
      </c>
      <c r="C361" s="85"/>
      <c r="D361" s="58">
        <v>0.0</v>
      </c>
      <c r="E361" s="59">
        <f t="shared" si="31"/>
        <v>2</v>
      </c>
      <c r="F361" s="60">
        <v>0.3</v>
      </c>
      <c r="G361" s="61">
        <f t="shared" si="34"/>
        <v>0</v>
      </c>
      <c r="H361" s="81">
        <v>12.0</v>
      </c>
      <c r="I361" s="63">
        <f t="shared" si="33"/>
        <v>24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19" t="s">
        <v>760</v>
      </c>
      <c r="B362" s="120">
        <v>3.0</v>
      </c>
      <c r="C362" s="85"/>
      <c r="D362" s="58">
        <v>0.0</v>
      </c>
      <c r="E362" s="59">
        <f t="shared" si="31"/>
        <v>3</v>
      </c>
      <c r="F362" s="60">
        <v>0.3</v>
      </c>
      <c r="G362" s="61">
        <f t="shared" si="34"/>
        <v>0</v>
      </c>
      <c r="H362" s="81">
        <v>12.0</v>
      </c>
      <c r="I362" s="63">
        <f t="shared" si="33"/>
        <v>36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19" t="s">
        <v>762</v>
      </c>
      <c r="B363" s="120">
        <v>1.0</v>
      </c>
      <c r="C363" s="85"/>
      <c r="D363" s="58">
        <v>0.0</v>
      </c>
      <c r="E363" s="59">
        <f t="shared" si="31"/>
        <v>1</v>
      </c>
      <c r="F363" s="60">
        <v>0.3</v>
      </c>
      <c r="G363" s="61">
        <f t="shared" si="34"/>
        <v>0</v>
      </c>
      <c r="H363" s="81">
        <v>12.0</v>
      </c>
      <c r="I363" s="63">
        <f t="shared" si="33"/>
        <v>12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19" t="s">
        <v>765</v>
      </c>
      <c r="B364" s="120">
        <v>2.0</v>
      </c>
      <c r="C364" s="85"/>
      <c r="D364" s="58">
        <v>0.0</v>
      </c>
      <c r="E364" s="59">
        <f t="shared" si="31"/>
        <v>2</v>
      </c>
      <c r="F364" s="60">
        <v>0.3</v>
      </c>
      <c r="G364" s="61">
        <f t="shared" si="34"/>
        <v>0</v>
      </c>
      <c r="H364" s="81">
        <v>12.0</v>
      </c>
      <c r="I364" s="63">
        <f t="shared" si="33"/>
        <v>24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19" t="s">
        <v>767</v>
      </c>
      <c r="B365" s="120">
        <v>1.0</v>
      </c>
      <c r="C365" s="85"/>
      <c r="D365" s="58">
        <v>0.0</v>
      </c>
      <c r="E365" s="59">
        <f t="shared" si="31"/>
        <v>1</v>
      </c>
      <c r="F365" s="60">
        <v>0.3</v>
      </c>
      <c r="G365" s="61">
        <f t="shared" si="34"/>
        <v>0</v>
      </c>
      <c r="H365" s="81">
        <v>12.0</v>
      </c>
      <c r="I365" s="63">
        <f t="shared" si="33"/>
        <v>12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19" t="s">
        <v>769</v>
      </c>
      <c r="B366" s="120">
        <v>0.0</v>
      </c>
      <c r="C366" s="85"/>
      <c r="D366" s="58">
        <v>0.0</v>
      </c>
      <c r="E366" s="59">
        <f t="shared" si="31"/>
        <v>0</v>
      </c>
      <c r="F366" s="60">
        <v>0.3</v>
      </c>
      <c r="G366" s="61">
        <f t="shared" si="34"/>
        <v>0</v>
      </c>
      <c r="H366" s="81">
        <v>12.0</v>
      </c>
      <c r="I366" s="63">
        <f t="shared" si="33"/>
        <v>0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19" t="s">
        <v>772</v>
      </c>
      <c r="B367" s="120">
        <v>0.0</v>
      </c>
      <c r="C367" s="85"/>
      <c r="D367" s="58">
        <v>0.0</v>
      </c>
      <c r="E367" s="59">
        <f t="shared" si="31"/>
        <v>0</v>
      </c>
      <c r="F367" s="60">
        <v>0.3</v>
      </c>
      <c r="G367" s="61">
        <f t="shared" si="34"/>
        <v>0</v>
      </c>
      <c r="H367" s="81">
        <v>13.0</v>
      </c>
      <c r="I367" s="63">
        <f t="shared" si="33"/>
        <v>0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19" t="s">
        <v>775</v>
      </c>
      <c r="B368" s="120">
        <v>0.0</v>
      </c>
      <c r="C368" s="85"/>
      <c r="D368" s="58">
        <v>0.0</v>
      </c>
      <c r="E368" s="59">
        <f t="shared" si="31"/>
        <v>0</v>
      </c>
      <c r="F368" s="60">
        <v>0.3</v>
      </c>
      <c r="G368" s="61">
        <f t="shared" si="34"/>
        <v>0</v>
      </c>
      <c r="H368" s="81">
        <v>12.0</v>
      </c>
      <c r="I368" s="63">
        <f t="shared" si="33"/>
        <v>0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19" t="s">
        <v>778</v>
      </c>
      <c r="B369" s="120">
        <v>1.0</v>
      </c>
      <c r="C369" s="85"/>
      <c r="D369" s="58">
        <v>0.0</v>
      </c>
      <c r="E369" s="59">
        <f t="shared" si="31"/>
        <v>1</v>
      </c>
      <c r="F369" s="60">
        <v>0.3</v>
      </c>
      <c r="G369" s="61">
        <f t="shared" si="34"/>
        <v>0</v>
      </c>
      <c r="H369" s="81">
        <v>12.0</v>
      </c>
      <c r="I369" s="63">
        <f t="shared" si="33"/>
        <v>12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19" t="s">
        <v>780</v>
      </c>
      <c r="B370" s="120">
        <v>1.0</v>
      </c>
      <c r="C370" s="85"/>
      <c r="D370" s="58">
        <v>0.0</v>
      </c>
      <c r="E370" s="59">
        <f t="shared" si="31"/>
        <v>1</v>
      </c>
      <c r="F370" s="60">
        <v>0.3</v>
      </c>
      <c r="G370" s="61">
        <f t="shared" si="34"/>
        <v>0</v>
      </c>
      <c r="H370" s="81">
        <v>12.0</v>
      </c>
      <c r="I370" s="63">
        <f t="shared" si="33"/>
        <v>12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19" t="s">
        <v>782</v>
      </c>
      <c r="B371" s="120">
        <v>0.0</v>
      </c>
      <c r="C371" s="85"/>
      <c r="D371" s="58">
        <v>0.0</v>
      </c>
      <c r="E371" s="59">
        <f t="shared" si="31"/>
        <v>0</v>
      </c>
      <c r="F371" s="60">
        <v>0.3</v>
      </c>
      <c r="G371" s="61">
        <f t="shared" si="34"/>
        <v>0</v>
      </c>
      <c r="H371" s="81">
        <v>11.0</v>
      </c>
      <c r="I371" s="63">
        <f t="shared" si="33"/>
        <v>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19" t="s">
        <v>784</v>
      </c>
      <c r="B372" s="120">
        <v>0.0</v>
      </c>
      <c r="C372" s="85"/>
      <c r="D372" s="58">
        <v>0.0</v>
      </c>
      <c r="E372" s="59">
        <f t="shared" si="31"/>
        <v>0</v>
      </c>
      <c r="F372" s="60">
        <v>0.3</v>
      </c>
      <c r="G372" s="61">
        <f t="shared" si="34"/>
        <v>0</v>
      </c>
      <c r="H372" s="81">
        <v>11.0</v>
      </c>
      <c r="I372" s="63">
        <f t="shared" si="33"/>
        <v>0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19" t="s">
        <v>786</v>
      </c>
      <c r="B373" s="120">
        <v>0.0</v>
      </c>
      <c r="C373" s="85"/>
      <c r="D373" s="58">
        <v>0.0</v>
      </c>
      <c r="E373" s="59">
        <f t="shared" si="31"/>
        <v>0</v>
      </c>
      <c r="F373" s="60">
        <v>0.3</v>
      </c>
      <c r="G373" s="61">
        <f t="shared" si="34"/>
        <v>0</v>
      </c>
      <c r="H373" s="81">
        <v>11.0</v>
      </c>
      <c r="I373" s="63">
        <f t="shared" si="33"/>
        <v>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19" t="s">
        <v>787</v>
      </c>
      <c r="B374" s="120">
        <v>0.0</v>
      </c>
      <c r="C374" s="85"/>
      <c r="D374" s="58">
        <v>0.0</v>
      </c>
      <c r="E374" s="59">
        <f t="shared" si="31"/>
        <v>0</v>
      </c>
      <c r="F374" s="60">
        <v>0.3</v>
      </c>
      <c r="G374" s="61">
        <f t="shared" si="34"/>
        <v>0</v>
      </c>
      <c r="H374" s="81">
        <v>12.0</v>
      </c>
      <c r="I374" s="63">
        <f t="shared" si="33"/>
        <v>0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19" t="s">
        <v>789</v>
      </c>
      <c r="B375" s="120">
        <v>0.0</v>
      </c>
      <c r="C375" s="85"/>
      <c r="D375" s="58">
        <v>0.0</v>
      </c>
      <c r="E375" s="59">
        <f t="shared" si="31"/>
        <v>0</v>
      </c>
      <c r="F375" s="60">
        <v>0.3</v>
      </c>
      <c r="G375" s="61">
        <f t="shared" si="34"/>
        <v>0</v>
      </c>
      <c r="H375" s="81">
        <v>12.0</v>
      </c>
      <c r="I375" s="63">
        <f t="shared" si="33"/>
        <v>0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19" t="s">
        <v>791</v>
      </c>
      <c r="B376" s="120">
        <v>0.0</v>
      </c>
      <c r="C376" s="85"/>
      <c r="D376" s="58">
        <v>0.0</v>
      </c>
      <c r="E376" s="59">
        <f t="shared" si="31"/>
        <v>0</v>
      </c>
      <c r="F376" s="60">
        <v>0.3</v>
      </c>
      <c r="G376" s="61">
        <f t="shared" si="34"/>
        <v>0</v>
      </c>
      <c r="H376" s="81">
        <v>10.0</v>
      </c>
      <c r="I376" s="63">
        <f t="shared" si="33"/>
        <v>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19" t="s">
        <v>793</v>
      </c>
      <c r="B377" s="120">
        <v>6.0</v>
      </c>
      <c r="C377" s="85"/>
      <c r="D377" s="58">
        <v>0.0</v>
      </c>
      <c r="E377" s="59">
        <f t="shared" si="31"/>
        <v>6</v>
      </c>
      <c r="F377" s="60">
        <v>0.3</v>
      </c>
      <c r="G377" s="61">
        <f t="shared" si="34"/>
        <v>0</v>
      </c>
      <c r="H377" s="81">
        <v>12.0</v>
      </c>
      <c r="I377" s="63">
        <f t="shared" si="33"/>
        <v>72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19" t="s">
        <v>795</v>
      </c>
      <c r="B378" s="120">
        <v>1.0</v>
      </c>
      <c r="C378" s="85"/>
      <c r="D378" s="58">
        <v>0.0</v>
      </c>
      <c r="E378" s="59">
        <f t="shared" si="31"/>
        <v>1</v>
      </c>
      <c r="F378" s="60">
        <v>0.3</v>
      </c>
      <c r="G378" s="61">
        <f t="shared" si="34"/>
        <v>0</v>
      </c>
      <c r="H378" s="81">
        <v>12.0</v>
      </c>
      <c r="I378" s="63">
        <f t="shared" si="33"/>
        <v>12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19" t="s">
        <v>796</v>
      </c>
      <c r="B379" s="120">
        <v>0.0</v>
      </c>
      <c r="C379" s="85"/>
      <c r="D379" s="58">
        <v>0.0</v>
      </c>
      <c r="E379" s="59">
        <f t="shared" si="31"/>
        <v>0</v>
      </c>
      <c r="F379" s="60">
        <v>0.3</v>
      </c>
      <c r="G379" s="61">
        <f t="shared" si="34"/>
        <v>0</v>
      </c>
      <c r="H379" s="81">
        <v>12.0</v>
      </c>
      <c r="I379" s="63">
        <f t="shared" si="33"/>
        <v>0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19" t="s">
        <v>799</v>
      </c>
      <c r="B380" s="120">
        <v>2.0</v>
      </c>
      <c r="C380" s="85"/>
      <c r="D380" s="58">
        <v>0.0</v>
      </c>
      <c r="E380" s="59">
        <f t="shared" si="31"/>
        <v>2</v>
      </c>
      <c r="F380" s="60">
        <v>0.3</v>
      </c>
      <c r="G380" s="61">
        <f t="shared" si="34"/>
        <v>0</v>
      </c>
      <c r="H380" s="81">
        <v>12.0</v>
      </c>
      <c r="I380" s="63">
        <f t="shared" si="33"/>
        <v>24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19" t="s">
        <v>800</v>
      </c>
      <c r="B381" s="120">
        <v>0.0</v>
      </c>
      <c r="C381" s="85"/>
      <c r="D381" s="58">
        <v>0.0</v>
      </c>
      <c r="E381" s="59">
        <f t="shared" si="31"/>
        <v>0</v>
      </c>
      <c r="F381" s="60">
        <v>0.3</v>
      </c>
      <c r="G381" s="61">
        <f t="shared" si="34"/>
        <v>0</v>
      </c>
      <c r="H381" s="81">
        <v>12.0</v>
      </c>
      <c r="I381" s="63">
        <f t="shared" si="33"/>
        <v>0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19" t="s">
        <v>801</v>
      </c>
      <c r="B382" s="120">
        <v>0.0</v>
      </c>
      <c r="C382" s="85"/>
      <c r="D382" s="58">
        <v>0.0</v>
      </c>
      <c r="E382" s="59">
        <f t="shared" si="31"/>
        <v>0</v>
      </c>
      <c r="F382" s="60">
        <v>0.3</v>
      </c>
      <c r="G382" s="61">
        <f t="shared" si="34"/>
        <v>0</v>
      </c>
      <c r="H382" s="81">
        <v>12.0</v>
      </c>
      <c r="I382" s="63">
        <f t="shared" si="33"/>
        <v>0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19" t="s">
        <v>803</v>
      </c>
      <c r="B383" s="120">
        <v>0.0</v>
      </c>
      <c r="C383" s="85"/>
      <c r="D383" s="58">
        <v>0.0</v>
      </c>
      <c r="E383" s="59">
        <f t="shared" si="31"/>
        <v>0</v>
      </c>
      <c r="F383" s="60">
        <v>0.3</v>
      </c>
      <c r="G383" s="61">
        <f t="shared" si="34"/>
        <v>0</v>
      </c>
      <c r="H383" s="81">
        <v>12.0</v>
      </c>
      <c r="I383" s="63">
        <f t="shared" si="33"/>
        <v>0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19" t="s">
        <v>805</v>
      </c>
      <c r="B384" s="120">
        <v>1.0</v>
      </c>
      <c r="C384" s="85"/>
      <c r="D384" s="58">
        <v>0.0</v>
      </c>
      <c r="E384" s="59">
        <f t="shared" si="31"/>
        <v>1</v>
      </c>
      <c r="F384" s="60">
        <v>0.3</v>
      </c>
      <c r="G384" s="61">
        <f t="shared" si="34"/>
        <v>0</v>
      </c>
      <c r="H384" s="81">
        <v>12.0</v>
      </c>
      <c r="I384" s="63">
        <f t="shared" si="33"/>
        <v>12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19" t="s">
        <v>807</v>
      </c>
      <c r="B385" s="120">
        <v>1.0</v>
      </c>
      <c r="C385" s="85"/>
      <c r="D385" s="58">
        <v>0.0</v>
      </c>
      <c r="E385" s="59">
        <f t="shared" si="31"/>
        <v>1</v>
      </c>
      <c r="F385" s="60">
        <v>0.3</v>
      </c>
      <c r="G385" s="61">
        <f t="shared" si="34"/>
        <v>0</v>
      </c>
      <c r="H385" s="81">
        <v>12.0</v>
      </c>
      <c r="I385" s="63">
        <f t="shared" si="33"/>
        <v>12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19" t="s">
        <v>808</v>
      </c>
      <c r="B386" s="120">
        <v>3.0</v>
      </c>
      <c r="C386" s="85"/>
      <c r="D386" s="58">
        <v>0.0</v>
      </c>
      <c r="E386" s="59">
        <f t="shared" si="31"/>
        <v>3</v>
      </c>
      <c r="F386" s="60">
        <v>0.3</v>
      </c>
      <c r="G386" s="61">
        <f t="shared" si="34"/>
        <v>0</v>
      </c>
      <c r="H386" s="81">
        <v>12.0</v>
      </c>
      <c r="I386" s="63">
        <f t="shared" si="33"/>
        <v>36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19" t="s">
        <v>809</v>
      </c>
      <c r="B387" s="120">
        <v>0.0</v>
      </c>
      <c r="C387" s="85"/>
      <c r="D387" s="58">
        <v>0.0</v>
      </c>
      <c r="E387" s="59">
        <f t="shared" si="31"/>
        <v>0</v>
      </c>
      <c r="F387" s="60">
        <v>0.3</v>
      </c>
      <c r="G387" s="61">
        <f t="shared" si="34"/>
        <v>0</v>
      </c>
      <c r="H387" s="81">
        <v>12.0</v>
      </c>
      <c r="I387" s="63">
        <f t="shared" si="33"/>
        <v>0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19" t="s">
        <v>811</v>
      </c>
      <c r="B388" s="120">
        <v>0.0</v>
      </c>
      <c r="C388" s="85"/>
      <c r="D388" s="58">
        <v>0.0</v>
      </c>
      <c r="E388" s="59">
        <f t="shared" si="31"/>
        <v>0</v>
      </c>
      <c r="F388" s="60">
        <v>0.3</v>
      </c>
      <c r="G388" s="61">
        <f t="shared" si="34"/>
        <v>0</v>
      </c>
      <c r="H388" s="81">
        <v>12.0</v>
      </c>
      <c r="I388" s="63">
        <f t="shared" si="33"/>
        <v>0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19" t="s">
        <v>812</v>
      </c>
      <c r="B389" s="120">
        <v>0.0</v>
      </c>
      <c r="C389" s="85"/>
      <c r="D389" s="58">
        <v>0.0</v>
      </c>
      <c r="E389" s="59">
        <f t="shared" si="31"/>
        <v>0</v>
      </c>
      <c r="F389" s="60">
        <v>0.3</v>
      </c>
      <c r="G389" s="61">
        <f t="shared" si="34"/>
        <v>0</v>
      </c>
      <c r="H389" s="81">
        <v>12.0</v>
      </c>
      <c r="I389" s="63">
        <f t="shared" si="33"/>
        <v>0</v>
      </c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19" t="s">
        <v>814</v>
      </c>
      <c r="B390" s="120">
        <v>0.0</v>
      </c>
      <c r="C390" s="85"/>
      <c r="D390" s="58">
        <v>0.0</v>
      </c>
      <c r="E390" s="59">
        <f t="shared" si="31"/>
        <v>0</v>
      </c>
      <c r="F390" s="60">
        <v>0.3</v>
      </c>
      <c r="G390" s="61">
        <f t="shared" si="34"/>
        <v>0</v>
      </c>
      <c r="H390" s="81">
        <v>12.0</v>
      </c>
      <c r="I390" s="63">
        <f t="shared" si="33"/>
        <v>0</v>
      </c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19" t="s">
        <v>815</v>
      </c>
      <c r="B391" s="120">
        <v>3.0</v>
      </c>
      <c r="C391" s="85"/>
      <c r="D391" s="58">
        <v>0.0</v>
      </c>
      <c r="E391" s="59">
        <f t="shared" si="31"/>
        <v>3</v>
      </c>
      <c r="F391" s="60">
        <v>0.3</v>
      </c>
      <c r="G391" s="61">
        <f t="shared" si="34"/>
        <v>0</v>
      </c>
      <c r="H391" s="81">
        <v>12.0</v>
      </c>
      <c r="I391" s="63">
        <f t="shared" si="33"/>
        <v>36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19" t="s">
        <v>817</v>
      </c>
      <c r="B392" s="120">
        <v>0.0</v>
      </c>
      <c r="C392" s="85"/>
      <c r="D392" s="58">
        <v>0.0</v>
      </c>
      <c r="E392" s="59">
        <f t="shared" si="31"/>
        <v>0</v>
      </c>
      <c r="F392" s="60">
        <v>0.3</v>
      </c>
      <c r="G392" s="61">
        <f t="shared" si="34"/>
        <v>0</v>
      </c>
      <c r="H392" s="81">
        <v>12.0</v>
      </c>
      <c r="I392" s="63">
        <f t="shared" si="33"/>
        <v>0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19" t="s">
        <v>820</v>
      </c>
      <c r="B393" s="120">
        <v>3.0</v>
      </c>
      <c r="C393" s="85"/>
      <c r="D393" s="58">
        <v>0.0</v>
      </c>
      <c r="E393" s="59">
        <f t="shared" si="31"/>
        <v>3</v>
      </c>
      <c r="F393" s="60">
        <v>0.3</v>
      </c>
      <c r="G393" s="61">
        <f t="shared" si="34"/>
        <v>0</v>
      </c>
      <c r="H393" s="81">
        <v>12.0</v>
      </c>
      <c r="I393" s="63">
        <f t="shared" si="33"/>
        <v>36</v>
      </c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19" t="s">
        <v>821</v>
      </c>
      <c r="B394" s="120">
        <v>0.0</v>
      </c>
      <c r="C394" s="85"/>
      <c r="D394" s="58">
        <v>0.0</v>
      </c>
      <c r="E394" s="59">
        <f t="shared" si="31"/>
        <v>0</v>
      </c>
      <c r="F394" s="60">
        <v>0.3</v>
      </c>
      <c r="G394" s="61">
        <f t="shared" si="34"/>
        <v>0</v>
      </c>
      <c r="H394" s="81">
        <v>12.0</v>
      </c>
      <c r="I394" s="63">
        <f t="shared" si="33"/>
        <v>0</v>
      </c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19" t="s">
        <v>823</v>
      </c>
      <c r="B395" s="120">
        <v>0.0</v>
      </c>
      <c r="C395" s="85"/>
      <c r="D395" s="58">
        <v>0.0</v>
      </c>
      <c r="E395" s="59">
        <f t="shared" si="31"/>
        <v>0</v>
      </c>
      <c r="F395" s="60">
        <v>0.3</v>
      </c>
      <c r="G395" s="61">
        <f t="shared" si="34"/>
        <v>0</v>
      </c>
      <c r="H395" s="81">
        <v>12.0</v>
      </c>
      <c r="I395" s="63">
        <f t="shared" si="33"/>
        <v>0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19" t="s">
        <v>825</v>
      </c>
      <c r="B396" s="120">
        <v>0.0</v>
      </c>
      <c r="C396" s="85"/>
      <c r="D396" s="58">
        <v>0.0</v>
      </c>
      <c r="E396" s="59">
        <f t="shared" si="31"/>
        <v>0</v>
      </c>
      <c r="F396" s="60">
        <v>0.3</v>
      </c>
      <c r="G396" s="61">
        <f t="shared" si="34"/>
        <v>0</v>
      </c>
      <c r="H396" s="81">
        <v>12.0</v>
      </c>
      <c r="I396" s="63">
        <f t="shared" si="33"/>
        <v>0</v>
      </c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19" t="s">
        <v>826</v>
      </c>
      <c r="B397" s="120">
        <v>0.0</v>
      </c>
      <c r="C397" s="85"/>
      <c r="D397" s="58">
        <v>0.0</v>
      </c>
      <c r="E397" s="59">
        <f t="shared" si="31"/>
        <v>0</v>
      </c>
      <c r="F397" s="60">
        <v>0.3</v>
      </c>
      <c r="G397" s="61">
        <f t="shared" si="34"/>
        <v>0</v>
      </c>
      <c r="H397" s="81">
        <v>12.0</v>
      </c>
      <c r="I397" s="63">
        <f t="shared" si="33"/>
        <v>0</v>
      </c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19" t="s">
        <v>827</v>
      </c>
      <c r="B398" s="120">
        <v>1.0</v>
      </c>
      <c r="C398" s="85"/>
      <c r="D398" s="58">
        <v>0.0</v>
      </c>
      <c r="E398" s="59">
        <f t="shared" si="31"/>
        <v>1</v>
      </c>
      <c r="F398" s="60">
        <v>0.3</v>
      </c>
      <c r="G398" s="61">
        <f t="shared" si="34"/>
        <v>0</v>
      </c>
      <c r="H398" s="81">
        <v>12.0</v>
      </c>
      <c r="I398" s="63">
        <f t="shared" si="33"/>
        <v>12</v>
      </c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19" t="s">
        <v>828</v>
      </c>
      <c r="B399" s="120">
        <v>0.0</v>
      </c>
      <c r="C399" s="85"/>
      <c r="D399" s="58">
        <v>0.0</v>
      </c>
      <c r="E399" s="59">
        <f t="shared" si="31"/>
        <v>0</v>
      </c>
      <c r="F399" s="60">
        <v>0.3</v>
      </c>
      <c r="G399" s="61">
        <f t="shared" si="34"/>
        <v>0</v>
      </c>
      <c r="H399" s="81">
        <v>12.0</v>
      </c>
      <c r="I399" s="63">
        <f t="shared" si="33"/>
        <v>0</v>
      </c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19" t="s">
        <v>829</v>
      </c>
      <c r="B400" s="120">
        <v>0.0</v>
      </c>
      <c r="C400" s="85"/>
      <c r="D400" s="58">
        <v>0.0</v>
      </c>
      <c r="E400" s="59">
        <f t="shared" si="31"/>
        <v>0</v>
      </c>
      <c r="F400" s="60">
        <v>0.3</v>
      </c>
      <c r="G400" s="61">
        <f t="shared" si="34"/>
        <v>0</v>
      </c>
      <c r="H400" s="81">
        <v>12.0</v>
      </c>
      <c r="I400" s="63">
        <f t="shared" si="33"/>
        <v>0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19" t="s">
        <v>830</v>
      </c>
      <c r="B401" s="120">
        <v>0.0</v>
      </c>
      <c r="C401" s="85"/>
      <c r="D401" s="58">
        <v>0.0</v>
      </c>
      <c r="E401" s="59">
        <f t="shared" si="31"/>
        <v>0</v>
      </c>
      <c r="F401" s="60">
        <v>0.3</v>
      </c>
      <c r="G401" s="61">
        <f t="shared" si="34"/>
        <v>0</v>
      </c>
      <c r="H401" s="81">
        <v>12.0</v>
      </c>
      <c r="I401" s="63">
        <f t="shared" si="33"/>
        <v>0</v>
      </c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19" t="s">
        <v>831</v>
      </c>
      <c r="B402" s="120">
        <v>0.0</v>
      </c>
      <c r="C402" s="85"/>
      <c r="D402" s="58">
        <v>0.0</v>
      </c>
      <c r="E402" s="59">
        <f t="shared" si="31"/>
        <v>0</v>
      </c>
      <c r="F402" s="60">
        <v>0.3</v>
      </c>
      <c r="G402" s="61">
        <f t="shared" si="34"/>
        <v>0</v>
      </c>
      <c r="H402" s="81">
        <v>12.0</v>
      </c>
      <c r="I402" s="63">
        <f t="shared" si="33"/>
        <v>0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19" t="s">
        <v>832</v>
      </c>
      <c r="B403" s="120">
        <v>2.0</v>
      </c>
      <c r="C403" s="85"/>
      <c r="D403" s="58">
        <v>0.0</v>
      </c>
      <c r="E403" s="59">
        <f t="shared" si="31"/>
        <v>2</v>
      </c>
      <c r="F403" s="60">
        <v>0.3</v>
      </c>
      <c r="G403" s="61">
        <f t="shared" si="34"/>
        <v>0</v>
      </c>
      <c r="H403" s="81">
        <v>12.0</v>
      </c>
      <c r="I403" s="63">
        <f t="shared" si="33"/>
        <v>24</v>
      </c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19" t="s">
        <v>833</v>
      </c>
      <c r="B404" s="120">
        <v>0.0</v>
      </c>
      <c r="C404" s="85"/>
      <c r="D404" s="58">
        <v>0.0</v>
      </c>
      <c r="E404" s="59">
        <f t="shared" si="31"/>
        <v>0</v>
      </c>
      <c r="F404" s="60">
        <v>0.3</v>
      </c>
      <c r="G404" s="61">
        <f t="shared" si="34"/>
        <v>0</v>
      </c>
      <c r="H404" s="81">
        <v>12.0</v>
      </c>
      <c r="I404" s="63">
        <f t="shared" si="33"/>
        <v>0</v>
      </c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19" t="s">
        <v>834</v>
      </c>
      <c r="B405" s="120">
        <v>0.0</v>
      </c>
      <c r="C405" s="85"/>
      <c r="D405" s="58">
        <v>0.0</v>
      </c>
      <c r="E405" s="59">
        <f t="shared" si="31"/>
        <v>0</v>
      </c>
      <c r="F405" s="60">
        <v>0.3</v>
      </c>
      <c r="G405" s="61">
        <f t="shared" si="34"/>
        <v>0</v>
      </c>
      <c r="H405" s="81">
        <v>12.0</v>
      </c>
      <c r="I405" s="63">
        <f t="shared" si="33"/>
        <v>0</v>
      </c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19" t="s">
        <v>835</v>
      </c>
      <c r="B406" s="120">
        <v>0.0</v>
      </c>
      <c r="C406" s="85"/>
      <c r="D406" s="58">
        <v>0.0</v>
      </c>
      <c r="E406" s="59">
        <f t="shared" si="31"/>
        <v>0</v>
      </c>
      <c r="F406" s="60">
        <v>0.3</v>
      </c>
      <c r="G406" s="61">
        <f t="shared" si="34"/>
        <v>0</v>
      </c>
      <c r="H406" s="81">
        <v>12.0</v>
      </c>
      <c r="I406" s="63">
        <f t="shared" si="33"/>
        <v>0</v>
      </c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19" t="s">
        <v>836</v>
      </c>
      <c r="B407" s="120">
        <v>0.0</v>
      </c>
      <c r="C407" s="85"/>
      <c r="D407" s="58">
        <v>0.0</v>
      </c>
      <c r="E407" s="59">
        <f t="shared" si="31"/>
        <v>0</v>
      </c>
      <c r="F407" s="60">
        <v>0.3</v>
      </c>
      <c r="G407" s="61">
        <f t="shared" si="34"/>
        <v>0</v>
      </c>
      <c r="H407" s="81">
        <v>12.0</v>
      </c>
      <c r="I407" s="63">
        <f t="shared" si="33"/>
        <v>0</v>
      </c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19" t="s">
        <v>837</v>
      </c>
      <c r="B408" s="120">
        <v>0.0</v>
      </c>
      <c r="C408" s="85"/>
      <c r="D408" s="58">
        <v>0.0</v>
      </c>
      <c r="E408" s="59">
        <f t="shared" si="31"/>
        <v>0</v>
      </c>
      <c r="F408" s="60">
        <v>0.3</v>
      </c>
      <c r="G408" s="61">
        <f t="shared" si="34"/>
        <v>0</v>
      </c>
      <c r="H408" s="81">
        <v>12.0</v>
      </c>
      <c r="I408" s="63">
        <f t="shared" si="33"/>
        <v>0</v>
      </c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19" t="s">
        <v>838</v>
      </c>
      <c r="B409" s="120">
        <v>0.0</v>
      </c>
      <c r="C409" s="85"/>
      <c r="D409" s="58">
        <v>0.0</v>
      </c>
      <c r="E409" s="59">
        <f t="shared" si="31"/>
        <v>0</v>
      </c>
      <c r="F409" s="60">
        <v>0.3</v>
      </c>
      <c r="G409" s="61">
        <f t="shared" si="34"/>
        <v>0</v>
      </c>
      <c r="H409" s="81">
        <v>12.0</v>
      </c>
      <c r="I409" s="63">
        <f t="shared" si="33"/>
        <v>0</v>
      </c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19" t="s">
        <v>839</v>
      </c>
      <c r="B410" s="120">
        <v>0.0</v>
      </c>
      <c r="C410" s="85"/>
      <c r="D410" s="58">
        <v>0.0</v>
      </c>
      <c r="E410" s="59">
        <f t="shared" si="31"/>
        <v>0</v>
      </c>
      <c r="F410" s="60">
        <v>0.3</v>
      </c>
      <c r="G410" s="61">
        <f t="shared" si="34"/>
        <v>0</v>
      </c>
      <c r="H410" s="81">
        <v>12.0</v>
      </c>
      <c r="I410" s="63">
        <f t="shared" si="33"/>
        <v>0</v>
      </c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19" t="s">
        <v>841</v>
      </c>
      <c r="B411" s="120">
        <v>0.0</v>
      </c>
      <c r="C411" s="85"/>
      <c r="D411" s="58">
        <v>0.0</v>
      </c>
      <c r="E411" s="59">
        <f t="shared" si="31"/>
        <v>0</v>
      </c>
      <c r="F411" s="60">
        <v>0.3</v>
      </c>
      <c r="G411" s="61">
        <f t="shared" si="34"/>
        <v>0</v>
      </c>
      <c r="H411" s="81">
        <v>12.0</v>
      </c>
      <c r="I411" s="63">
        <f t="shared" si="33"/>
        <v>0</v>
      </c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19" t="s">
        <v>1229</v>
      </c>
      <c r="B412" s="120">
        <v>0.0</v>
      </c>
      <c r="C412" s="85"/>
      <c r="D412" s="58">
        <v>0.0</v>
      </c>
      <c r="E412" s="59">
        <f t="shared" si="31"/>
        <v>0</v>
      </c>
      <c r="F412" s="60">
        <v>0.3</v>
      </c>
      <c r="G412" s="61">
        <f t="shared" si="34"/>
        <v>0</v>
      </c>
      <c r="H412" s="81">
        <v>12.0</v>
      </c>
      <c r="I412" s="63">
        <f t="shared" si="33"/>
        <v>0</v>
      </c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19" t="s">
        <v>844</v>
      </c>
      <c r="B413" s="120">
        <v>1.0</v>
      </c>
      <c r="C413" s="122" t="s">
        <v>1232</v>
      </c>
      <c r="D413" s="58">
        <v>0.0</v>
      </c>
      <c r="E413" s="59">
        <f t="shared" si="31"/>
        <v>1</v>
      </c>
      <c r="F413" s="60">
        <v>0.3</v>
      </c>
      <c r="G413" s="123" t="str">
        <f t="shared" si="34"/>
        <v>#VALUE!</v>
      </c>
      <c r="H413" s="81">
        <v>12.0</v>
      </c>
      <c r="I413" s="63">
        <f t="shared" si="33"/>
        <v>12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19" t="s">
        <v>845</v>
      </c>
      <c r="B414" s="120">
        <v>1.0</v>
      </c>
      <c r="C414" s="122" t="s">
        <v>1232</v>
      </c>
      <c r="D414" s="58">
        <v>0.0</v>
      </c>
      <c r="E414" s="59">
        <f t="shared" si="31"/>
        <v>1</v>
      </c>
      <c r="F414" s="60">
        <v>0.3</v>
      </c>
      <c r="G414" s="123" t="str">
        <f t="shared" si="34"/>
        <v>#VALUE!</v>
      </c>
      <c r="H414" s="81">
        <v>12.0</v>
      </c>
      <c r="I414" s="63">
        <f t="shared" si="33"/>
        <v>12</v>
      </c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19" t="s">
        <v>846</v>
      </c>
      <c r="B415" s="120">
        <v>0.0</v>
      </c>
      <c r="C415" s="122" t="s">
        <v>1232</v>
      </c>
      <c r="D415" s="58">
        <v>0.0</v>
      </c>
      <c r="E415" s="59">
        <f t="shared" si="31"/>
        <v>0</v>
      </c>
      <c r="F415" s="60">
        <v>0.3</v>
      </c>
      <c r="G415" s="123" t="str">
        <f t="shared" si="34"/>
        <v>#VALUE!</v>
      </c>
      <c r="H415" s="81">
        <v>12.0</v>
      </c>
      <c r="I415" s="63">
        <f t="shared" si="33"/>
        <v>0</v>
      </c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19" t="s">
        <v>848</v>
      </c>
      <c r="B416" s="120">
        <v>2.0</v>
      </c>
      <c r="C416" s="122" t="s">
        <v>1232</v>
      </c>
      <c r="D416" s="58">
        <v>0.0</v>
      </c>
      <c r="E416" s="59">
        <f t="shared" si="31"/>
        <v>2</v>
      </c>
      <c r="F416" s="60">
        <v>0.3</v>
      </c>
      <c r="G416" s="123" t="str">
        <f t="shared" si="34"/>
        <v>#VALUE!</v>
      </c>
      <c r="H416" s="81">
        <v>12.0</v>
      </c>
      <c r="I416" s="63">
        <f t="shared" si="33"/>
        <v>24</v>
      </c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19" t="s">
        <v>850</v>
      </c>
      <c r="B417" s="120">
        <v>8.0</v>
      </c>
      <c r="C417" s="122" t="s">
        <v>1232</v>
      </c>
      <c r="D417" s="58">
        <v>0.0</v>
      </c>
      <c r="E417" s="59">
        <f t="shared" si="31"/>
        <v>8</v>
      </c>
      <c r="F417" s="60">
        <v>0.3</v>
      </c>
      <c r="G417" s="123" t="str">
        <f t="shared" si="34"/>
        <v>#VALUE!</v>
      </c>
      <c r="H417" s="81">
        <v>10.0</v>
      </c>
      <c r="I417" s="63">
        <f t="shared" si="33"/>
        <v>80</v>
      </c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19" t="s">
        <v>851</v>
      </c>
      <c r="B418" s="120">
        <v>0.0</v>
      </c>
      <c r="C418" s="122" t="s">
        <v>1232</v>
      </c>
      <c r="D418" s="58">
        <v>0.0</v>
      </c>
      <c r="E418" s="59">
        <f t="shared" si="31"/>
        <v>0</v>
      </c>
      <c r="F418" s="60">
        <v>0.3</v>
      </c>
      <c r="G418" s="123" t="str">
        <f t="shared" si="34"/>
        <v>#VALUE!</v>
      </c>
      <c r="H418" s="81">
        <v>12.0</v>
      </c>
      <c r="I418" s="63">
        <f t="shared" si="33"/>
        <v>0</v>
      </c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19" t="s">
        <v>852</v>
      </c>
      <c r="B419" s="120">
        <v>0.0</v>
      </c>
      <c r="C419" s="122" t="s">
        <v>1232</v>
      </c>
      <c r="D419" s="58">
        <v>0.0</v>
      </c>
      <c r="E419" s="59">
        <f t="shared" si="31"/>
        <v>0</v>
      </c>
      <c r="F419" s="60">
        <v>0.3</v>
      </c>
      <c r="G419" s="123" t="str">
        <f t="shared" si="34"/>
        <v>#VALUE!</v>
      </c>
      <c r="H419" s="81">
        <v>12.0</v>
      </c>
      <c r="I419" s="63">
        <f t="shared" si="33"/>
        <v>0</v>
      </c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19" t="s">
        <v>853</v>
      </c>
      <c r="B420" s="120">
        <v>0.0</v>
      </c>
      <c r="C420" s="122" t="s">
        <v>1232</v>
      </c>
      <c r="D420" s="58">
        <v>0.0</v>
      </c>
      <c r="E420" s="59">
        <f t="shared" si="31"/>
        <v>0</v>
      </c>
      <c r="F420" s="60">
        <v>0.3</v>
      </c>
      <c r="G420" s="123" t="str">
        <f t="shared" si="34"/>
        <v>#VALUE!</v>
      </c>
      <c r="H420" s="81">
        <v>12.0</v>
      </c>
      <c r="I420" s="63">
        <f t="shared" si="33"/>
        <v>0</v>
      </c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19" t="s">
        <v>855</v>
      </c>
      <c r="B421" s="120">
        <v>10.0</v>
      </c>
      <c r="C421" s="122" t="s">
        <v>1232</v>
      </c>
      <c r="D421" s="58">
        <v>0.0</v>
      </c>
      <c r="E421" s="59">
        <f t="shared" si="31"/>
        <v>10</v>
      </c>
      <c r="F421" s="60">
        <v>0.3</v>
      </c>
      <c r="G421" s="123" t="str">
        <f t="shared" si="34"/>
        <v>#VALUE!</v>
      </c>
      <c r="H421" s="81">
        <v>12.0</v>
      </c>
      <c r="I421" s="63">
        <f t="shared" si="33"/>
        <v>120</v>
      </c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19" t="s">
        <v>1251</v>
      </c>
      <c r="B422" s="120">
        <v>0.0</v>
      </c>
      <c r="C422" s="122" t="s">
        <v>1232</v>
      </c>
      <c r="D422" s="58">
        <v>0.0</v>
      </c>
      <c r="E422" s="59">
        <f t="shared" si="31"/>
        <v>0</v>
      </c>
      <c r="F422" s="60">
        <v>0.3</v>
      </c>
      <c r="G422" s="123" t="str">
        <f t="shared" si="34"/>
        <v>#VALUE!</v>
      </c>
      <c r="H422" s="81">
        <v>12.0</v>
      </c>
      <c r="I422" s="63">
        <f t="shared" si="33"/>
        <v>0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19" t="s">
        <v>858</v>
      </c>
      <c r="B423" s="120">
        <v>0.0</v>
      </c>
      <c r="C423" s="122" t="s">
        <v>1232</v>
      </c>
      <c r="D423" s="58">
        <v>0.0</v>
      </c>
      <c r="E423" s="59">
        <f t="shared" si="31"/>
        <v>0</v>
      </c>
      <c r="F423" s="60">
        <v>0.3</v>
      </c>
      <c r="G423" s="123" t="str">
        <f t="shared" si="34"/>
        <v>#VALUE!</v>
      </c>
      <c r="H423" s="81">
        <v>12.0</v>
      </c>
      <c r="I423" s="63">
        <f t="shared" si="33"/>
        <v>0</v>
      </c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19" t="s">
        <v>860</v>
      </c>
      <c r="B424" s="120">
        <v>0.0</v>
      </c>
      <c r="C424" s="122" t="s">
        <v>1232</v>
      </c>
      <c r="D424" s="58">
        <v>0.0</v>
      </c>
      <c r="E424" s="59">
        <f t="shared" si="31"/>
        <v>0</v>
      </c>
      <c r="F424" s="60">
        <v>0.3</v>
      </c>
      <c r="G424" s="123" t="str">
        <f t="shared" si="34"/>
        <v>#VALUE!</v>
      </c>
      <c r="H424" s="81">
        <v>12.0</v>
      </c>
      <c r="I424" s="63">
        <f t="shared" si="33"/>
        <v>0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19" t="s">
        <v>861</v>
      </c>
      <c r="B425" s="120">
        <v>4.0</v>
      </c>
      <c r="C425" s="122" t="s">
        <v>1232</v>
      </c>
      <c r="D425" s="58">
        <v>0.0</v>
      </c>
      <c r="E425" s="59">
        <f t="shared" si="31"/>
        <v>4</v>
      </c>
      <c r="F425" s="60">
        <v>0.3</v>
      </c>
      <c r="G425" s="123" t="str">
        <f t="shared" si="34"/>
        <v>#VALUE!</v>
      </c>
      <c r="H425" s="81">
        <v>12.0</v>
      </c>
      <c r="I425" s="63">
        <f t="shared" si="33"/>
        <v>48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19" t="s">
        <v>863</v>
      </c>
      <c r="B426" s="120">
        <v>3.0</v>
      </c>
      <c r="C426" s="122" t="s">
        <v>1232</v>
      </c>
      <c r="D426" s="58">
        <v>0.0</v>
      </c>
      <c r="E426" s="59">
        <f t="shared" si="31"/>
        <v>3</v>
      </c>
      <c r="F426" s="60">
        <v>0.3</v>
      </c>
      <c r="G426" s="123" t="str">
        <f t="shared" si="34"/>
        <v>#VALUE!</v>
      </c>
      <c r="H426" s="81">
        <v>12.0</v>
      </c>
      <c r="I426" s="63">
        <f t="shared" si="33"/>
        <v>36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19" t="s">
        <v>864</v>
      </c>
      <c r="B427" s="120">
        <v>0.0</v>
      </c>
      <c r="C427" s="122" t="s">
        <v>1232</v>
      </c>
      <c r="D427" s="58">
        <v>0.0</v>
      </c>
      <c r="E427" s="59">
        <f t="shared" si="31"/>
        <v>0</v>
      </c>
      <c r="F427" s="60">
        <v>0.3</v>
      </c>
      <c r="G427" s="123" t="str">
        <f t="shared" si="34"/>
        <v>#VALUE!</v>
      </c>
      <c r="H427" s="81">
        <v>12.0</v>
      </c>
      <c r="I427" s="63">
        <f t="shared" si="33"/>
        <v>0</v>
      </c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19" t="s">
        <v>865</v>
      </c>
      <c r="B428" s="120">
        <v>0.0</v>
      </c>
      <c r="C428" s="122" t="s">
        <v>1232</v>
      </c>
      <c r="D428" s="58">
        <v>0.0</v>
      </c>
      <c r="E428" s="59">
        <f t="shared" si="31"/>
        <v>0</v>
      </c>
      <c r="F428" s="60">
        <v>0.3</v>
      </c>
      <c r="G428" s="123" t="str">
        <f t="shared" si="34"/>
        <v>#VALUE!</v>
      </c>
      <c r="H428" s="81">
        <v>12.0</v>
      </c>
      <c r="I428" s="63">
        <f t="shared" si="33"/>
        <v>0</v>
      </c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19" t="s">
        <v>867</v>
      </c>
      <c r="B429" s="120">
        <v>3.0</v>
      </c>
      <c r="C429" s="122" t="s">
        <v>1232</v>
      </c>
      <c r="D429" s="58">
        <v>0.0</v>
      </c>
      <c r="E429" s="59">
        <f t="shared" si="31"/>
        <v>3</v>
      </c>
      <c r="F429" s="60">
        <v>0.3</v>
      </c>
      <c r="G429" s="123" t="str">
        <f t="shared" si="34"/>
        <v>#VALUE!</v>
      </c>
      <c r="H429" s="81">
        <v>12.0</v>
      </c>
      <c r="I429" s="63">
        <f t="shared" si="33"/>
        <v>36</v>
      </c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19" t="s">
        <v>869</v>
      </c>
      <c r="B430" s="120">
        <v>0.0</v>
      </c>
      <c r="C430" s="122" t="s">
        <v>1232</v>
      </c>
      <c r="D430" s="58">
        <v>0.0</v>
      </c>
      <c r="E430" s="59">
        <f t="shared" si="31"/>
        <v>0</v>
      </c>
      <c r="F430" s="60">
        <v>0.3</v>
      </c>
      <c r="G430" s="123" t="str">
        <f t="shared" si="34"/>
        <v>#VALUE!</v>
      </c>
      <c r="H430" s="81">
        <v>12.0</v>
      </c>
      <c r="I430" s="63">
        <f t="shared" si="33"/>
        <v>0</v>
      </c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19" t="s">
        <v>870</v>
      </c>
      <c r="B431" s="120">
        <v>0.0</v>
      </c>
      <c r="C431" s="122" t="s">
        <v>1232</v>
      </c>
      <c r="D431" s="58">
        <v>0.0</v>
      </c>
      <c r="E431" s="59">
        <f t="shared" si="31"/>
        <v>0</v>
      </c>
      <c r="F431" s="60">
        <v>0.3</v>
      </c>
      <c r="G431" s="123" t="str">
        <f t="shared" si="34"/>
        <v>#VALUE!</v>
      </c>
      <c r="H431" s="81">
        <v>12.0</v>
      </c>
      <c r="I431" s="63">
        <f t="shared" si="33"/>
        <v>0</v>
      </c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19" t="s">
        <v>872</v>
      </c>
      <c r="B432" s="120">
        <v>0.0</v>
      </c>
      <c r="C432" s="122" t="s">
        <v>1232</v>
      </c>
      <c r="D432" s="58">
        <v>0.0</v>
      </c>
      <c r="E432" s="59">
        <f t="shared" si="31"/>
        <v>0</v>
      </c>
      <c r="F432" s="60">
        <v>0.3</v>
      </c>
      <c r="G432" s="123" t="str">
        <f t="shared" si="34"/>
        <v>#VALUE!</v>
      </c>
      <c r="H432" s="81">
        <v>12.0</v>
      </c>
      <c r="I432" s="63">
        <f t="shared" si="33"/>
        <v>0</v>
      </c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19" t="s">
        <v>874</v>
      </c>
      <c r="B433" s="120">
        <v>6.0</v>
      </c>
      <c r="C433" s="122" t="s">
        <v>1232</v>
      </c>
      <c r="D433" s="58">
        <v>0.0</v>
      </c>
      <c r="E433" s="59">
        <f t="shared" si="31"/>
        <v>6</v>
      </c>
      <c r="F433" s="60">
        <v>0.3</v>
      </c>
      <c r="G433" s="123" t="str">
        <f t="shared" si="34"/>
        <v>#VALUE!</v>
      </c>
      <c r="H433" s="81">
        <v>12.0</v>
      </c>
      <c r="I433" s="63">
        <f t="shared" si="33"/>
        <v>72</v>
      </c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19" t="s">
        <v>877</v>
      </c>
      <c r="B434" s="120">
        <v>5.0</v>
      </c>
      <c r="C434" s="122" t="s">
        <v>1232</v>
      </c>
      <c r="D434" s="58">
        <v>0.0</v>
      </c>
      <c r="E434" s="59">
        <f t="shared" si="31"/>
        <v>5</v>
      </c>
      <c r="F434" s="60">
        <v>0.3</v>
      </c>
      <c r="G434" s="123" t="str">
        <f t="shared" si="34"/>
        <v>#VALUE!</v>
      </c>
      <c r="H434" s="81">
        <v>12.0</v>
      </c>
      <c r="I434" s="63">
        <f t="shared" si="33"/>
        <v>60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19" t="s">
        <v>878</v>
      </c>
      <c r="B435" s="120">
        <v>6.0</v>
      </c>
      <c r="C435" s="122" t="s">
        <v>1232</v>
      </c>
      <c r="D435" s="58">
        <v>0.0</v>
      </c>
      <c r="E435" s="59">
        <f t="shared" si="31"/>
        <v>6</v>
      </c>
      <c r="F435" s="60">
        <v>0.3</v>
      </c>
      <c r="G435" s="123" t="str">
        <f t="shared" si="34"/>
        <v>#VALUE!</v>
      </c>
      <c r="H435" s="81">
        <v>12.0</v>
      </c>
      <c r="I435" s="63">
        <f t="shared" si="33"/>
        <v>72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19" t="s">
        <v>881</v>
      </c>
      <c r="B436" s="120">
        <v>0.0</v>
      </c>
      <c r="C436" s="122" t="s">
        <v>1232</v>
      </c>
      <c r="D436" s="58">
        <v>0.0</v>
      </c>
      <c r="E436" s="59">
        <f t="shared" si="31"/>
        <v>0</v>
      </c>
      <c r="F436" s="60">
        <v>0.3</v>
      </c>
      <c r="G436" s="123" t="str">
        <f t="shared" si="34"/>
        <v>#VALUE!</v>
      </c>
      <c r="H436" s="81">
        <v>12.0</v>
      </c>
      <c r="I436" s="63">
        <f t="shared" si="33"/>
        <v>0</v>
      </c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19" t="s">
        <v>882</v>
      </c>
      <c r="B437" s="120">
        <v>0.0</v>
      </c>
      <c r="C437" s="122" t="s">
        <v>1232</v>
      </c>
      <c r="D437" s="58">
        <v>0.0</v>
      </c>
      <c r="E437" s="59">
        <f t="shared" si="31"/>
        <v>0</v>
      </c>
      <c r="F437" s="60">
        <v>0.3</v>
      </c>
      <c r="G437" s="123" t="str">
        <f t="shared" si="34"/>
        <v>#VALUE!</v>
      </c>
      <c r="H437" s="81">
        <v>12.0</v>
      </c>
      <c r="I437" s="63">
        <f t="shared" si="33"/>
        <v>0</v>
      </c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19" t="s">
        <v>883</v>
      </c>
      <c r="B438" s="120">
        <v>0.0</v>
      </c>
      <c r="C438" s="122" t="s">
        <v>1232</v>
      </c>
      <c r="D438" s="58">
        <v>0.0</v>
      </c>
      <c r="E438" s="59">
        <f t="shared" si="31"/>
        <v>0</v>
      </c>
      <c r="F438" s="60">
        <v>0.3</v>
      </c>
      <c r="G438" s="123" t="str">
        <f t="shared" si="34"/>
        <v>#VALUE!</v>
      </c>
      <c r="H438" s="81">
        <v>12.0</v>
      </c>
      <c r="I438" s="63">
        <f t="shared" si="33"/>
        <v>0</v>
      </c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19" t="s">
        <v>884</v>
      </c>
      <c r="B439" s="120">
        <v>0.0</v>
      </c>
      <c r="C439" s="122" t="s">
        <v>1232</v>
      </c>
      <c r="D439" s="58">
        <v>0.0</v>
      </c>
      <c r="E439" s="59">
        <f t="shared" si="31"/>
        <v>0</v>
      </c>
      <c r="F439" s="60">
        <v>0.3</v>
      </c>
      <c r="G439" s="123" t="str">
        <f t="shared" si="34"/>
        <v>#VALUE!</v>
      </c>
      <c r="H439" s="81">
        <v>12.0</v>
      </c>
      <c r="I439" s="63">
        <f t="shared" si="33"/>
        <v>0</v>
      </c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19" t="s">
        <v>885</v>
      </c>
      <c r="B440" s="120">
        <v>0.0</v>
      </c>
      <c r="C440" s="122" t="s">
        <v>1232</v>
      </c>
      <c r="D440" s="58">
        <v>0.0</v>
      </c>
      <c r="E440" s="59">
        <f t="shared" si="31"/>
        <v>0</v>
      </c>
      <c r="F440" s="60">
        <v>0.3</v>
      </c>
      <c r="G440" s="123" t="str">
        <f t="shared" si="34"/>
        <v>#VALUE!</v>
      </c>
      <c r="H440" s="81">
        <v>12.0</v>
      </c>
      <c r="I440" s="63">
        <f t="shared" si="33"/>
        <v>0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19" t="s">
        <v>886</v>
      </c>
      <c r="B441" s="120">
        <v>0.0</v>
      </c>
      <c r="C441" s="122" t="s">
        <v>1232</v>
      </c>
      <c r="D441" s="58">
        <v>0.0</v>
      </c>
      <c r="E441" s="59">
        <f t="shared" si="31"/>
        <v>0</v>
      </c>
      <c r="F441" s="60">
        <v>0.3</v>
      </c>
      <c r="G441" s="123" t="str">
        <f t="shared" si="34"/>
        <v>#VALUE!</v>
      </c>
      <c r="H441" s="81">
        <v>12.0</v>
      </c>
      <c r="I441" s="63">
        <f t="shared" si="33"/>
        <v>0</v>
      </c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19" t="s">
        <v>887</v>
      </c>
      <c r="B442" s="120">
        <v>0.0</v>
      </c>
      <c r="C442" s="122" t="s">
        <v>1232</v>
      </c>
      <c r="D442" s="58">
        <v>0.0</v>
      </c>
      <c r="E442" s="59">
        <f t="shared" si="31"/>
        <v>0</v>
      </c>
      <c r="F442" s="60">
        <v>0.3</v>
      </c>
      <c r="G442" s="123" t="str">
        <f t="shared" si="34"/>
        <v>#VALUE!</v>
      </c>
      <c r="H442" s="81">
        <v>12.0</v>
      </c>
      <c r="I442" s="63">
        <f t="shared" si="33"/>
        <v>0</v>
      </c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19" t="s">
        <v>888</v>
      </c>
      <c r="B443" s="120">
        <v>0.0</v>
      </c>
      <c r="C443" s="122" t="s">
        <v>1232</v>
      </c>
      <c r="D443" s="58">
        <v>0.0</v>
      </c>
      <c r="E443" s="59">
        <f t="shared" si="31"/>
        <v>0</v>
      </c>
      <c r="F443" s="60">
        <v>0.3</v>
      </c>
      <c r="G443" s="123" t="str">
        <f t="shared" si="34"/>
        <v>#VALUE!</v>
      </c>
      <c r="H443" s="81">
        <v>12.0</v>
      </c>
      <c r="I443" s="63">
        <f t="shared" si="33"/>
        <v>0</v>
      </c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19" t="s">
        <v>889</v>
      </c>
      <c r="B444" s="120">
        <v>0.0</v>
      </c>
      <c r="C444" s="122" t="s">
        <v>1232</v>
      </c>
      <c r="D444" s="58">
        <v>0.0</v>
      </c>
      <c r="E444" s="59">
        <f t="shared" si="31"/>
        <v>0</v>
      </c>
      <c r="F444" s="60">
        <v>0.3</v>
      </c>
      <c r="G444" s="123" t="str">
        <f t="shared" si="34"/>
        <v>#VALUE!</v>
      </c>
      <c r="H444" s="81">
        <v>12.0</v>
      </c>
      <c r="I444" s="63">
        <f t="shared" si="33"/>
        <v>0</v>
      </c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19" t="s">
        <v>890</v>
      </c>
      <c r="B445" s="120">
        <v>0.0</v>
      </c>
      <c r="C445" s="122" t="s">
        <v>1232</v>
      </c>
      <c r="D445" s="58">
        <v>0.0</v>
      </c>
      <c r="E445" s="59">
        <f t="shared" si="31"/>
        <v>0</v>
      </c>
      <c r="F445" s="60">
        <v>0.3</v>
      </c>
      <c r="G445" s="123" t="str">
        <f t="shared" si="34"/>
        <v>#VALUE!</v>
      </c>
      <c r="H445" s="81">
        <v>12.0</v>
      </c>
      <c r="I445" s="63">
        <f t="shared" si="33"/>
        <v>0</v>
      </c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19" t="s">
        <v>891</v>
      </c>
      <c r="B446" s="120">
        <v>0.0</v>
      </c>
      <c r="C446" s="122" t="s">
        <v>1232</v>
      </c>
      <c r="D446" s="58">
        <v>0.0</v>
      </c>
      <c r="E446" s="59">
        <f t="shared" si="31"/>
        <v>0</v>
      </c>
      <c r="F446" s="60">
        <v>0.3</v>
      </c>
      <c r="G446" s="123" t="str">
        <f t="shared" si="34"/>
        <v>#VALUE!</v>
      </c>
      <c r="H446" s="81">
        <v>12.0</v>
      </c>
      <c r="I446" s="63">
        <f t="shared" si="33"/>
        <v>0</v>
      </c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19" t="s">
        <v>892</v>
      </c>
      <c r="B447" s="120">
        <v>0.0</v>
      </c>
      <c r="C447" s="122" t="s">
        <v>1232</v>
      </c>
      <c r="D447" s="58">
        <v>0.0</v>
      </c>
      <c r="E447" s="59">
        <f t="shared" si="31"/>
        <v>0</v>
      </c>
      <c r="F447" s="60">
        <v>0.3</v>
      </c>
      <c r="G447" s="123" t="str">
        <f t="shared" si="34"/>
        <v>#VALUE!</v>
      </c>
      <c r="H447" s="81">
        <v>12.0</v>
      </c>
      <c r="I447" s="63">
        <f t="shared" si="33"/>
        <v>0</v>
      </c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19" t="s">
        <v>894</v>
      </c>
      <c r="B448" s="120">
        <v>13.0</v>
      </c>
      <c r="C448" s="122" t="s">
        <v>1232</v>
      </c>
      <c r="D448" s="58">
        <v>0.0</v>
      </c>
      <c r="E448" s="59">
        <f t="shared" si="31"/>
        <v>13</v>
      </c>
      <c r="F448" s="60">
        <v>0.3</v>
      </c>
      <c r="G448" s="123" t="str">
        <f t="shared" si="34"/>
        <v>#VALUE!</v>
      </c>
      <c r="H448" s="81">
        <v>12.0</v>
      </c>
      <c r="I448" s="63">
        <f t="shared" si="33"/>
        <v>156</v>
      </c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19" t="s">
        <v>895</v>
      </c>
      <c r="B449" s="120">
        <v>0.0</v>
      </c>
      <c r="C449" s="122" t="s">
        <v>1232</v>
      </c>
      <c r="D449" s="58">
        <v>0.0</v>
      </c>
      <c r="E449" s="59">
        <f t="shared" si="31"/>
        <v>0</v>
      </c>
      <c r="F449" s="60">
        <v>0.3</v>
      </c>
      <c r="G449" s="123" t="str">
        <f t="shared" si="34"/>
        <v>#VALUE!</v>
      </c>
      <c r="H449" s="81">
        <v>12.0</v>
      </c>
      <c r="I449" s="63">
        <f t="shared" si="33"/>
        <v>0</v>
      </c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19" t="s">
        <v>896</v>
      </c>
      <c r="B450" s="120">
        <v>0.0</v>
      </c>
      <c r="C450" s="122" t="s">
        <v>1232</v>
      </c>
      <c r="D450" s="58">
        <v>0.0</v>
      </c>
      <c r="E450" s="59">
        <f t="shared" si="31"/>
        <v>0</v>
      </c>
      <c r="F450" s="60">
        <v>0.3</v>
      </c>
      <c r="G450" s="123" t="str">
        <f t="shared" si="34"/>
        <v>#VALUE!</v>
      </c>
      <c r="H450" s="81">
        <v>12.0</v>
      </c>
      <c r="I450" s="63">
        <f t="shared" si="33"/>
        <v>0</v>
      </c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19" t="s">
        <v>897</v>
      </c>
      <c r="B451" s="120">
        <v>0.0</v>
      </c>
      <c r="C451" s="122" t="s">
        <v>1232</v>
      </c>
      <c r="D451" s="58">
        <v>0.0</v>
      </c>
      <c r="E451" s="59">
        <f t="shared" si="31"/>
        <v>0</v>
      </c>
      <c r="F451" s="60">
        <v>0.3</v>
      </c>
      <c r="G451" s="123" t="str">
        <f t="shared" si="34"/>
        <v>#VALUE!</v>
      </c>
      <c r="H451" s="81">
        <v>12.0</v>
      </c>
      <c r="I451" s="63">
        <f t="shared" si="33"/>
        <v>0</v>
      </c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19" t="s">
        <v>898</v>
      </c>
      <c r="B452" s="120">
        <v>0.0</v>
      </c>
      <c r="C452" s="122" t="s">
        <v>1232</v>
      </c>
      <c r="D452" s="58">
        <v>0.0</v>
      </c>
      <c r="E452" s="59">
        <f t="shared" si="31"/>
        <v>0</v>
      </c>
      <c r="F452" s="60">
        <v>0.3</v>
      </c>
      <c r="G452" s="123" t="str">
        <f t="shared" si="34"/>
        <v>#VALUE!</v>
      </c>
      <c r="H452" s="81">
        <v>12.0</v>
      </c>
      <c r="I452" s="63">
        <f t="shared" si="33"/>
        <v>0</v>
      </c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19" t="s">
        <v>899</v>
      </c>
      <c r="B453" s="120">
        <v>0.0</v>
      </c>
      <c r="C453" s="122" t="s">
        <v>1232</v>
      </c>
      <c r="D453" s="58">
        <v>0.0</v>
      </c>
      <c r="E453" s="59">
        <f t="shared" si="31"/>
        <v>0</v>
      </c>
      <c r="F453" s="60">
        <v>0.3</v>
      </c>
      <c r="G453" s="123" t="str">
        <f t="shared" si="34"/>
        <v>#VALUE!</v>
      </c>
      <c r="H453" s="81">
        <v>12.0</v>
      </c>
      <c r="I453" s="63">
        <f t="shared" si="33"/>
        <v>0</v>
      </c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19" t="s">
        <v>900</v>
      </c>
      <c r="B454" s="120">
        <v>0.0</v>
      </c>
      <c r="C454" s="122" t="s">
        <v>1232</v>
      </c>
      <c r="D454" s="58">
        <v>0.0</v>
      </c>
      <c r="E454" s="59">
        <f t="shared" si="31"/>
        <v>0</v>
      </c>
      <c r="F454" s="60">
        <v>0.3</v>
      </c>
      <c r="G454" s="123" t="str">
        <f t="shared" si="34"/>
        <v>#VALUE!</v>
      </c>
      <c r="H454" s="81">
        <v>12.0</v>
      </c>
      <c r="I454" s="63">
        <f t="shared" si="33"/>
        <v>0</v>
      </c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19" t="s">
        <v>901</v>
      </c>
      <c r="B455" s="120">
        <v>0.0</v>
      </c>
      <c r="C455" s="122" t="s">
        <v>1232</v>
      </c>
      <c r="D455" s="58">
        <v>0.0</v>
      </c>
      <c r="E455" s="59">
        <f t="shared" si="31"/>
        <v>0</v>
      </c>
      <c r="F455" s="60">
        <v>0.3</v>
      </c>
      <c r="G455" s="123" t="str">
        <f t="shared" si="34"/>
        <v>#VALUE!</v>
      </c>
      <c r="H455" s="81">
        <v>12.0</v>
      </c>
      <c r="I455" s="63">
        <f t="shared" si="33"/>
        <v>0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19" t="s">
        <v>903</v>
      </c>
      <c r="B456" s="120">
        <v>0.0</v>
      </c>
      <c r="C456" s="122" t="s">
        <v>1232</v>
      </c>
      <c r="D456" s="58">
        <v>0.0</v>
      </c>
      <c r="E456" s="59">
        <f t="shared" si="31"/>
        <v>0</v>
      </c>
      <c r="F456" s="60">
        <v>0.3</v>
      </c>
      <c r="G456" s="123" t="str">
        <f t="shared" si="34"/>
        <v>#VALUE!</v>
      </c>
      <c r="H456" s="81">
        <v>12.0</v>
      </c>
      <c r="I456" s="63">
        <f t="shared" si="33"/>
        <v>0</v>
      </c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19" t="s">
        <v>904</v>
      </c>
      <c r="B457" s="120">
        <v>16.0</v>
      </c>
      <c r="C457" s="122" t="s">
        <v>1232</v>
      </c>
      <c r="D457" s="58">
        <v>0.0</v>
      </c>
      <c r="E457" s="59">
        <f t="shared" si="31"/>
        <v>16</v>
      </c>
      <c r="F457" s="60">
        <v>0.3</v>
      </c>
      <c r="G457" s="123" t="str">
        <f t="shared" si="34"/>
        <v>#VALUE!</v>
      </c>
      <c r="H457" s="81">
        <v>12.0</v>
      </c>
      <c r="I457" s="63">
        <f t="shared" si="33"/>
        <v>192</v>
      </c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19" t="s">
        <v>905</v>
      </c>
      <c r="B458" s="120">
        <v>0.0</v>
      </c>
      <c r="C458" s="122" t="s">
        <v>1232</v>
      </c>
      <c r="D458" s="58">
        <v>0.0</v>
      </c>
      <c r="E458" s="59">
        <f t="shared" si="31"/>
        <v>0</v>
      </c>
      <c r="F458" s="60">
        <v>0.3</v>
      </c>
      <c r="G458" s="123" t="str">
        <f t="shared" si="34"/>
        <v>#VALUE!</v>
      </c>
      <c r="H458" s="81">
        <v>12.0</v>
      </c>
      <c r="I458" s="63">
        <f t="shared" si="33"/>
        <v>0</v>
      </c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19" t="s">
        <v>906</v>
      </c>
      <c r="B459" s="120">
        <v>0.0</v>
      </c>
      <c r="C459" s="122" t="s">
        <v>1232</v>
      </c>
      <c r="D459" s="58">
        <v>0.0</v>
      </c>
      <c r="E459" s="59">
        <f t="shared" si="31"/>
        <v>0</v>
      </c>
      <c r="F459" s="60">
        <v>0.3</v>
      </c>
      <c r="G459" s="123" t="str">
        <f t="shared" si="34"/>
        <v>#VALUE!</v>
      </c>
      <c r="H459" s="81">
        <v>12.0</v>
      </c>
      <c r="I459" s="63">
        <f t="shared" si="33"/>
        <v>0</v>
      </c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19" t="s">
        <v>907</v>
      </c>
      <c r="B460" s="120">
        <v>0.0</v>
      </c>
      <c r="C460" s="122" t="s">
        <v>1232</v>
      </c>
      <c r="D460" s="58">
        <v>0.0</v>
      </c>
      <c r="E460" s="59">
        <f t="shared" si="31"/>
        <v>0</v>
      </c>
      <c r="F460" s="60">
        <v>0.3</v>
      </c>
      <c r="G460" s="123" t="str">
        <f t="shared" si="34"/>
        <v>#VALUE!</v>
      </c>
      <c r="H460" s="81">
        <v>12.0</v>
      </c>
      <c r="I460" s="63">
        <f t="shared" si="33"/>
        <v>0</v>
      </c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19" t="s">
        <v>908</v>
      </c>
      <c r="B461" s="120">
        <v>0.0</v>
      </c>
      <c r="C461" s="122" t="s">
        <v>1232</v>
      </c>
      <c r="D461" s="58">
        <v>0.0</v>
      </c>
      <c r="E461" s="59">
        <f t="shared" si="31"/>
        <v>0</v>
      </c>
      <c r="F461" s="60">
        <v>0.3</v>
      </c>
      <c r="G461" s="123" t="str">
        <f t="shared" si="34"/>
        <v>#VALUE!</v>
      </c>
      <c r="H461" s="81">
        <v>12.0</v>
      </c>
      <c r="I461" s="63">
        <f t="shared" si="33"/>
        <v>0</v>
      </c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19" t="s">
        <v>909</v>
      </c>
      <c r="B462" s="120">
        <v>0.0</v>
      </c>
      <c r="C462" s="122" t="s">
        <v>1232</v>
      </c>
      <c r="D462" s="58">
        <v>0.0</v>
      </c>
      <c r="E462" s="59">
        <f t="shared" si="31"/>
        <v>0</v>
      </c>
      <c r="F462" s="60">
        <v>0.3</v>
      </c>
      <c r="G462" s="123" t="str">
        <f t="shared" si="34"/>
        <v>#VALUE!</v>
      </c>
      <c r="H462" s="81">
        <v>12.0</v>
      </c>
      <c r="I462" s="63">
        <f t="shared" si="33"/>
        <v>0</v>
      </c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19" t="s">
        <v>911</v>
      </c>
      <c r="B463" s="120">
        <v>2.0</v>
      </c>
      <c r="C463" s="122" t="s">
        <v>1232</v>
      </c>
      <c r="D463" s="58">
        <v>0.0</v>
      </c>
      <c r="E463" s="59">
        <f t="shared" si="31"/>
        <v>2</v>
      </c>
      <c r="F463" s="60">
        <v>0.3</v>
      </c>
      <c r="G463" s="123" t="str">
        <f t="shared" si="34"/>
        <v>#VALUE!</v>
      </c>
      <c r="H463" s="81">
        <v>12.0</v>
      </c>
      <c r="I463" s="63">
        <f t="shared" si="33"/>
        <v>24</v>
      </c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19" t="s">
        <v>912</v>
      </c>
      <c r="B464" s="120">
        <v>0.0</v>
      </c>
      <c r="C464" s="122" t="s">
        <v>1232</v>
      </c>
      <c r="D464" s="58">
        <v>0.0</v>
      </c>
      <c r="E464" s="59">
        <f t="shared" si="31"/>
        <v>0</v>
      </c>
      <c r="F464" s="60">
        <v>0.3</v>
      </c>
      <c r="G464" s="123" t="str">
        <f t="shared" si="34"/>
        <v>#VALUE!</v>
      </c>
      <c r="H464" s="81">
        <v>12.0</v>
      </c>
      <c r="I464" s="63">
        <f t="shared" si="33"/>
        <v>0</v>
      </c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19" t="s">
        <v>913</v>
      </c>
      <c r="B465" s="120">
        <v>0.0</v>
      </c>
      <c r="C465" s="122" t="s">
        <v>1232</v>
      </c>
      <c r="D465" s="58">
        <v>0.0</v>
      </c>
      <c r="E465" s="59">
        <f t="shared" si="31"/>
        <v>0</v>
      </c>
      <c r="F465" s="60">
        <v>0.3</v>
      </c>
      <c r="G465" s="123" t="str">
        <f t="shared" si="34"/>
        <v>#VALUE!</v>
      </c>
      <c r="H465" s="81">
        <v>12.0</v>
      </c>
      <c r="I465" s="63">
        <f t="shared" si="33"/>
        <v>0</v>
      </c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19" t="s">
        <v>914</v>
      </c>
      <c r="B466" s="120">
        <v>0.0</v>
      </c>
      <c r="C466" s="122" t="s">
        <v>1232</v>
      </c>
      <c r="D466" s="58">
        <v>0.0</v>
      </c>
      <c r="E466" s="59">
        <f t="shared" si="31"/>
        <v>0</v>
      </c>
      <c r="F466" s="60">
        <v>0.3</v>
      </c>
      <c r="G466" s="123" t="str">
        <f t="shared" si="34"/>
        <v>#VALUE!</v>
      </c>
      <c r="H466" s="81">
        <v>12.0</v>
      </c>
      <c r="I466" s="63">
        <f t="shared" si="33"/>
        <v>0</v>
      </c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19" t="s">
        <v>916</v>
      </c>
      <c r="B467" s="120">
        <v>0.0</v>
      </c>
      <c r="C467" s="122" t="s">
        <v>1232</v>
      </c>
      <c r="D467" s="58">
        <v>0.0</v>
      </c>
      <c r="E467" s="59">
        <f t="shared" si="31"/>
        <v>0</v>
      </c>
      <c r="F467" s="60">
        <v>0.3</v>
      </c>
      <c r="G467" s="123" t="str">
        <f t="shared" si="34"/>
        <v>#VALUE!</v>
      </c>
      <c r="H467" s="81">
        <v>12.0</v>
      </c>
      <c r="I467" s="63">
        <f t="shared" si="33"/>
        <v>0</v>
      </c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19" t="s">
        <v>917</v>
      </c>
      <c r="B468" s="120">
        <v>0.0</v>
      </c>
      <c r="C468" s="122" t="s">
        <v>1232</v>
      </c>
      <c r="D468" s="58">
        <v>0.0</v>
      </c>
      <c r="E468" s="59">
        <f t="shared" si="31"/>
        <v>0</v>
      </c>
      <c r="F468" s="60">
        <v>0.3</v>
      </c>
      <c r="G468" s="123" t="str">
        <f t="shared" si="34"/>
        <v>#VALUE!</v>
      </c>
      <c r="H468" s="81">
        <v>12.0</v>
      </c>
      <c r="I468" s="63">
        <f t="shared" si="33"/>
        <v>0</v>
      </c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19" t="s">
        <v>918</v>
      </c>
      <c r="B469" s="120">
        <v>0.0</v>
      </c>
      <c r="C469" s="122" t="s">
        <v>1232</v>
      </c>
      <c r="D469" s="58">
        <v>0.0</v>
      </c>
      <c r="E469" s="59">
        <f t="shared" si="31"/>
        <v>0</v>
      </c>
      <c r="F469" s="60">
        <v>0.3</v>
      </c>
      <c r="G469" s="123" t="str">
        <f t="shared" si="34"/>
        <v>#VALUE!</v>
      </c>
      <c r="H469" s="81">
        <v>12.0</v>
      </c>
      <c r="I469" s="63">
        <f t="shared" si="33"/>
        <v>0</v>
      </c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19" t="s">
        <v>919</v>
      </c>
      <c r="B470" s="120">
        <v>0.0</v>
      </c>
      <c r="C470" s="122" t="s">
        <v>1232</v>
      </c>
      <c r="D470" s="58">
        <v>0.0</v>
      </c>
      <c r="E470" s="59">
        <f t="shared" si="31"/>
        <v>0</v>
      </c>
      <c r="F470" s="60">
        <v>0.3</v>
      </c>
      <c r="G470" s="123" t="str">
        <f t="shared" si="34"/>
        <v>#VALUE!</v>
      </c>
      <c r="H470" s="81">
        <v>12.0</v>
      </c>
      <c r="I470" s="63">
        <f t="shared" si="33"/>
        <v>0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19" t="s">
        <v>921</v>
      </c>
      <c r="B471" s="120">
        <v>0.0</v>
      </c>
      <c r="C471" s="122" t="s">
        <v>1232</v>
      </c>
      <c r="D471" s="58">
        <v>0.0</v>
      </c>
      <c r="E471" s="59">
        <f t="shared" si="31"/>
        <v>0</v>
      </c>
      <c r="F471" s="60">
        <v>0.3</v>
      </c>
      <c r="G471" s="123" t="str">
        <f t="shared" si="34"/>
        <v>#VALUE!</v>
      </c>
      <c r="H471" s="81">
        <v>12.0</v>
      </c>
      <c r="I471" s="63">
        <f t="shared" si="33"/>
        <v>0</v>
      </c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19" t="s">
        <v>922</v>
      </c>
      <c r="B472" s="120">
        <v>2.0</v>
      </c>
      <c r="C472" s="122" t="s">
        <v>1232</v>
      </c>
      <c r="D472" s="58">
        <v>0.0</v>
      </c>
      <c r="E472" s="59">
        <f t="shared" si="31"/>
        <v>2</v>
      </c>
      <c r="F472" s="60">
        <v>0.3</v>
      </c>
      <c r="G472" s="123" t="str">
        <f t="shared" si="34"/>
        <v>#VALUE!</v>
      </c>
      <c r="H472" s="81">
        <v>12.0</v>
      </c>
      <c r="I472" s="63">
        <f t="shared" si="33"/>
        <v>24</v>
      </c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19" t="s">
        <v>923</v>
      </c>
      <c r="B473" s="120">
        <v>0.0</v>
      </c>
      <c r="C473" s="122" t="s">
        <v>1232</v>
      </c>
      <c r="D473" s="58">
        <v>0.0</v>
      </c>
      <c r="E473" s="59">
        <f t="shared" si="31"/>
        <v>0</v>
      </c>
      <c r="F473" s="60">
        <v>0.3</v>
      </c>
      <c r="G473" s="123" t="str">
        <f t="shared" si="34"/>
        <v>#VALUE!</v>
      </c>
      <c r="H473" s="81">
        <v>12.0</v>
      </c>
      <c r="I473" s="63">
        <f t="shared" si="33"/>
        <v>0</v>
      </c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19" t="s">
        <v>924</v>
      </c>
      <c r="B474" s="120">
        <v>3.0</v>
      </c>
      <c r="C474" s="122" t="s">
        <v>1232</v>
      </c>
      <c r="D474" s="58">
        <v>0.0</v>
      </c>
      <c r="E474" s="59">
        <f t="shared" si="31"/>
        <v>3</v>
      </c>
      <c r="F474" s="60">
        <v>0.3</v>
      </c>
      <c r="G474" s="123" t="str">
        <f t="shared" si="34"/>
        <v>#VALUE!</v>
      </c>
      <c r="H474" s="81">
        <v>12.0</v>
      </c>
      <c r="I474" s="63">
        <f t="shared" si="33"/>
        <v>36</v>
      </c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19" t="s">
        <v>925</v>
      </c>
      <c r="B475" s="120">
        <v>0.0</v>
      </c>
      <c r="C475" s="122" t="s">
        <v>1232</v>
      </c>
      <c r="D475" s="58">
        <v>0.0</v>
      </c>
      <c r="E475" s="59">
        <f t="shared" si="31"/>
        <v>0</v>
      </c>
      <c r="F475" s="60">
        <v>0.3</v>
      </c>
      <c r="G475" s="123" t="str">
        <f t="shared" si="34"/>
        <v>#VALUE!</v>
      </c>
      <c r="H475" s="81">
        <v>12.0</v>
      </c>
      <c r="I475" s="63">
        <f t="shared" si="33"/>
        <v>0</v>
      </c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19" t="s">
        <v>926</v>
      </c>
      <c r="B476" s="120">
        <v>0.0</v>
      </c>
      <c r="C476" s="122" t="s">
        <v>1232</v>
      </c>
      <c r="D476" s="58">
        <v>0.0</v>
      </c>
      <c r="E476" s="59">
        <f t="shared" si="31"/>
        <v>0</v>
      </c>
      <c r="F476" s="60">
        <v>0.3</v>
      </c>
      <c r="G476" s="123" t="str">
        <f t="shared" si="34"/>
        <v>#VALUE!</v>
      </c>
      <c r="H476" s="81">
        <v>12.0</v>
      </c>
      <c r="I476" s="63">
        <f t="shared" si="33"/>
        <v>0</v>
      </c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19" t="s">
        <v>927</v>
      </c>
      <c r="B477" s="120">
        <v>3.0</v>
      </c>
      <c r="C477" s="122" t="s">
        <v>1232</v>
      </c>
      <c r="D477" s="58">
        <v>0.0</v>
      </c>
      <c r="E477" s="59">
        <f t="shared" si="31"/>
        <v>3</v>
      </c>
      <c r="F477" s="60">
        <v>0.3</v>
      </c>
      <c r="G477" s="123" t="str">
        <f t="shared" si="34"/>
        <v>#VALUE!</v>
      </c>
      <c r="H477" s="81">
        <v>12.0</v>
      </c>
      <c r="I477" s="63">
        <f t="shared" si="33"/>
        <v>36</v>
      </c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19" t="s">
        <v>929</v>
      </c>
      <c r="B478" s="120">
        <v>7.0</v>
      </c>
      <c r="C478" s="122" t="s">
        <v>1232</v>
      </c>
      <c r="D478" s="58">
        <v>0.0</v>
      </c>
      <c r="E478" s="59">
        <f t="shared" si="31"/>
        <v>7</v>
      </c>
      <c r="F478" s="60">
        <v>0.3</v>
      </c>
      <c r="G478" s="123" t="str">
        <f t="shared" si="34"/>
        <v>#VALUE!</v>
      </c>
      <c r="H478" s="81">
        <v>12.0</v>
      </c>
      <c r="I478" s="63">
        <f t="shared" si="33"/>
        <v>84</v>
      </c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19" t="s">
        <v>930</v>
      </c>
      <c r="B479" s="120">
        <v>0.0</v>
      </c>
      <c r="C479" s="122" t="s">
        <v>1232</v>
      </c>
      <c r="D479" s="58">
        <v>0.0</v>
      </c>
      <c r="E479" s="59">
        <f t="shared" si="31"/>
        <v>0</v>
      </c>
      <c r="F479" s="60">
        <v>0.3</v>
      </c>
      <c r="G479" s="123" t="str">
        <f t="shared" si="34"/>
        <v>#VALUE!</v>
      </c>
      <c r="H479" s="81">
        <v>12.0</v>
      </c>
      <c r="I479" s="63">
        <f t="shared" si="33"/>
        <v>0</v>
      </c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19" t="s">
        <v>931</v>
      </c>
      <c r="B480" s="120">
        <v>0.0</v>
      </c>
      <c r="C480" s="122" t="s">
        <v>1232</v>
      </c>
      <c r="D480" s="58">
        <v>0.0</v>
      </c>
      <c r="E480" s="59">
        <f t="shared" si="31"/>
        <v>0</v>
      </c>
      <c r="F480" s="60">
        <v>0.3</v>
      </c>
      <c r="G480" s="123" t="str">
        <f t="shared" si="34"/>
        <v>#VALUE!</v>
      </c>
      <c r="H480" s="81">
        <v>12.0</v>
      </c>
      <c r="I480" s="63">
        <f t="shared" si="33"/>
        <v>0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19" t="s">
        <v>932</v>
      </c>
      <c r="B481" s="120">
        <v>0.0</v>
      </c>
      <c r="C481" s="122" t="s">
        <v>1232</v>
      </c>
      <c r="D481" s="58">
        <v>0.0</v>
      </c>
      <c r="E481" s="59">
        <f t="shared" si="31"/>
        <v>0</v>
      </c>
      <c r="F481" s="60">
        <v>0.3</v>
      </c>
      <c r="G481" s="123" t="str">
        <f t="shared" si="34"/>
        <v>#VALUE!</v>
      </c>
      <c r="H481" s="81">
        <v>12.0</v>
      </c>
      <c r="I481" s="63">
        <f t="shared" si="33"/>
        <v>0</v>
      </c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19" t="s">
        <v>933</v>
      </c>
      <c r="B482" s="120">
        <v>0.0</v>
      </c>
      <c r="C482" s="122" t="s">
        <v>1232</v>
      </c>
      <c r="D482" s="58">
        <v>0.0</v>
      </c>
      <c r="E482" s="59">
        <f t="shared" si="31"/>
        <v>0</v>
      </c>
      <c r="F482" s="60">
        <v>0.3</v>
      </c>
      <c r="G482" s="123" t="str">
        <f t="shared" si="34"/>
        <v>#VALUE!</v>
      </c>
      <c r="H482" s="81">
        <v>12.0</v>
      </c>
      <c r="I482" s="63">
        <f t="shared" si="33"/>
        <v>0</v>
      </c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19" t="s">
        <v>934</v>
      </c>
      <c r="B483" s="120">
        <v>0.0</v>
      </c>
      <c r="C483" s="122" t="s">
        <v>1232</v>
      </c>
      <c r="D483" s="58">
        <v>0.0</v>
      </c>
      <c r="E483" s="59">
        <f t="shared" si="31"/>
        <v>0</v>
      </c>
      <c r="F483" s="60">
        <v>0.3</v>
      </c>
      <c r="G483" s="123" t="str">
        <f t="shared" si="34"/>
        <v>#VALUE!</v>
      </c>
      <c r="H483" s="81">
        <v>12.0</v>
      </c>
      <c r="I483" s="63">
        <f t="shared" si="33"/>
        <v>0</v>
      </c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19" t="s">
        <v>936</v>
      </c>
      <c r="B484" s="120">
        <v>1.0</v>
      </c>
      <c r="C484" s="122" t="s">
        <v>1232</v>
      </c>
      <c r="D484" s="58">
        <v>0.0</v>
      </c>
      <c r="E484" s="59">
        <f t="shared" si="31"/>
        <v>1</v>
      </c>
      <c r="F484" s="60">
        <v>0.3</v>
      </c>
      <c r="G484" s="123" t="str">
        <f t="shared" si="34"/>
        <v>#VALUE!</v>
      </c>
      <c r="H484" s="81">
        <v>12.0</v>
      </c>
      <c r="I484" s="63">
        <f t="shared" si="33"/>
        <v>12</v>
      </c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19" t="s">
        <v>938</v>
      </c>
      <c r="B485" s="120">
        <v>0.0</v>
      </c>
      <c r="C485" s="122" t="s">
        <v>1232</v>
      </c>
      <c r="D485" s="58">
        <v>0.0</v>
      </c>
      <c r="E485" s="59">
        <f t="shared" si="31"/>
        <v>0</v>
      </c>
      <c r="F485" s="60">
        <v>0.3</v>
      </c>
      <c r="G485" s="123" t="str">
        <f t="shared" si="34"/>
        <v>#VALUE!</v>
      </c>
      <c r="H485" s="81">
        <v>12.0</v>
      </c>
      <c r="I485" s="63">
        <f t="shared" si="33"/>
        <v>0</v>
      </c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19" t="s">
        <v>939</v>
      </c>
      <c r="B486" s="120">
        <v>1.0</v>
      </c>
      <c r="C486" s="122" t="s">
        <v>1232</v>
      </c>
      <c r="D486" s="58">
        <v>0.0</v>
      </c>
      <c r="E486" s="59">
        <f t="shared" si="31"/>
        <v>1</v>
      </c>
      <c r="F486" s="60">
        <v>0.3</v>
      </c>
      <c r="G486" s="123" t="str">
        <f t="shared" si="34"/>
        <v>#VALUE!</v>
      </c>
      <c r="H486" s="81">
        <v>12.0</v>
      </c>
      <c r="I486" s="63">
        <f t="shared" si="33"/>
        <v>12</v>
      </c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19" t="s">
        <v>940</v>
      </c>
      <c r="B487" s="120">
        <v>0.0</v>
      </c>
      <c r="C487" s="122" t="s">
        <v>1232</v>
      </c>
      <c r="D487" s="58">
        <v>0.0</v>
      </c>
      <c r="E487" s="59">
        <f t="shared" si="31"/>
        <v>0</v>
      </c>
      <c r="F487" s="60">
        <v>0.3</v>
      </c>
      <c r="G487" s="123" t="str">
        <f t="shared" si="34"/>
        <v>#VALUE!</v>
      </c>
      <c r="H487" s="81">
        <v>12.0</v>
      </c>
      <c r="I487" s="63">
        <f t="shared" si="33"/>
        <v>0</v>
      </c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19" t="s">
        <v>941</v>
      </c>
      <c r="B488" s="120">
        <v>0.0</v>
      </c>
      <c r="C488" s="122" t="s">
        <v>1232</v>
      </c>
      <c r="D488" s="58">
        <v>0.0</v>
      </c>
      <c r="E488" s="59">
        <f t="shared" si="31"/>
        <v>0</v>
      </c>
      <c r="F488" s="60">
        <v>0.3</v>
      </c>
      <c r="G488" s="123" t="str">
        <f t="shared" si="34"/>
        <v>#VALUE!</v>
      </c>
      <c r="H488" s="81">
        <v>12.0</v>
      </c>
      <c r="I488" s="63">
        <f t="shared" si="33"/>
        <v>0</v>
      </c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19" t="s">
        <v>942</v>
      </c>
      <c r="B489" s="120">
        <v>0.0</v>
      </c>
      <c r="C489" s="122" t="s">
        <v>1232</v>
      </c>
      <c r="D489" s="58">
        <v>0.0</v>
      </c>
      <c r="E489" s="59">
        <f t="shared" si="31"/>
        <v>0</v>
      </c>
      <c r="F489" s="60">
        <v>0.3</v>
      </c>
      <c r="G489" s="123" t="str">
        <f t="shared" si="34"/>
        <v>#VALUE!</v>
      </c>
      <c r="H489" s="81">
        <v>12.0</v>
      </c>
      <c r="I489" s="63">
        <f t="shared" si="33"/>
        <v>0</v>
      </c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19" t="s">
        <v>944</v>
      </c>
      <c r="B490" s="120">
        <v>2.0</v>
      </c>
      <c r="C490" s="122" t="s">
        <v>1232</v>
      </c>
      <c r="D490" s="58">
        <v>0.0</v>
      </c>
      <c r="E490" s="59">
        <f t="shared" si="31"/>
        <v>2</v>
      </c>
      <c r="F490" s="60">
        <v>0.3</v>
      </c>
      <c r="G490" s="123" t="str">
        <f t="shared" si="34"/>
        <v>#VALUE!</v>
      </c>
      <c r="H490" s="81">
        <v>12.0</v>
      </c>
      <c r="I490" s="63">
        <f t="shared" si="33"/>
        <v>24</v>
      </c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19" t="s">
        <v>946</v>
      </c>
      <c r="B491" s="120">
        <v>2.0</v>
      </c>
      <c r="C491" s="122" t="s">
        <v>1232</v>
      </c>
      <c r="D491" s="58">
        <v>0.0</v>
      </c>
      <c r="E491" s="59">
        <f t="shared" si="31"/>
        <v>2</v>
      </c>
      <c r="F491" s="60">
        <v>0.3</v>
      </c>
      <c r="G491" s="123" t="str">
        <f t="shared" si="34"/>
        <v>#VALUE!</v>
      </c>
      <c r="H491" s="81">
        <v>12.0</v>
      </c>
      <c r="I491" s="63">
        <f t="shared" si="33"/>
        <v>24</v>
      </c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19" t="s">
        <v>948</v>
      </c>
      <c r="B492" s="120">
        <v>2.0</v>
      </c>
      <c r="C492" s="122" t="s">
        <v>1232</v>
      </c>
      <c r="D492" s="58">
        <v>0.0</v>
      </c>
      <c r="E492" s="59">
        <f t="shared" si="31"/>
        <v>2</v>
      </c>
      <c r="F492" s="60">
        <v>0.3</v>
      </c>
      <c r="G492" s="123" t="str">
        <f t="shared" si="34"/>
        <v>#VALUE!</v>
      </c>
      <c r="H492" s="81">
        <v>12.0</v>
      </c>
      <c r="I492" s="63">
        <f t="shared" si="33"/>
        <v>24</v>
      </c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19" t="s">
        <v>949</v>
      </c>
      <c r="B493" s="120">
        <v>0.0</v>
      </c>
      <c r="C493" s="122" t="s">
        <v>1232</v>
      </c>
      <c r="D493" s="58">
        <v>0.0</v>
      </c>
      <c r="E493" s="59">
        <f t="shared" si="31"/>
        <v>0</v>
      </c>
      <c r="F493" s="60">
        <v>0.3</v>
      </c>
      <c r="G493" s="123" t="str">
        <f t="shared" si="34"/>
        <v>#VALUE!</v>
      </c>
      <c r="H493" s="81">
        <v>12.0</v>
      </c>
      <c r="I493" s="63">
        <f t="shared" si="33"/>
        <v>0</v>
      </c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19" t="s">
        <v>950</v>
      </c>
      <c r="B494" s="120">
        <v>0.0</v>
      </c>
      <c r="C494" s="122" t="s">
        <v>1232</v>
      </c>
      <c r="D494" s="58">
        <v>0.0</v>
      </c>
      <c r="E494" s="59">
        <f t="shared" si="31"/>
        <v>0</v>
      </c>
      <c r="F494" s="60">
        <v>0.3</v>
      </c>
      <c r="G494" s="123" t="str">
        <f t="shared" si="34"/>
        <v>#VALUE!</v>
      </c>
      <c r="H494" s="81">
        <v>12.0</v>
      </c>
      <c r="I494" s="63">
        <f t="shared" si="33"/>
        <v>0</v>
      </c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19" t="s">
        <v>951</v>
      </c>
      <c r="B495" s="120">
        <v>0.0</v>
      </c>
      <c r="C495" s="122" t="s">
        <v>1232</v>
      </c>
      <c r="D495" s="58">
        <v>0.0</v>
      </c>
      <c r="E495" s="59">
        <f t="shared" si="31"/>
        <v>0</v>
      </c>
      <c r="F495" s="60">
        <v>0.3</v>
      </c>
      <c r="G495" s="123" t="str">
        <f t="shared" si="34"/>
        <v>#VALUE!</v>
      </c>
      <c r="H495" s="81">
        <v>12.0</v>
      </c>
      <c r="I495" s="63">
        <f t="shared" si="33"/>
        <v>0</v>
      </c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19" t="s">
        <v>952</v>
      </c>
      <c r="B496" s="120">
        <v>0.0</v>
      </c>
      <c r="C496" s="122" t="s">
        <v>1232</v>
      </c>
      <c r="D496" s="58">
        <v>0.0</v>
      </c>
      <c r="E496" s="59">
        <f t="shared" si="31"/>
        <v>0</v>
      </c>
      <c r="F496" s="60">
        <v>0.3</v>
      </c>
      <c r="G496" s="123" t="str">
        <f t="shared" si="34"/>
        <v>#VALUE!</v>
      </c>
      <c r="H496" s="81">
        <v>12.0</v>
      </c>
      <c r="I496" s="63">
        <f t="shared" si="33"/>
        <v>0</v>
      </c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19" t="s">
        <v>953</v>
      </c>
      <c r="B497" s="120">
        <v>0.0</v>
      </c>
      <c r="C497" s="122" t="s">
        <v>1232</v>
      </c>
      <c r="D497" s="58">
        <v>0.0</v>
      </c>
      <c r="E497" s="59">
        <f t="shared" si="31"/>
        <v>0</v>
      </c>
      <c r="F497" s="60">
        <v>0.3</v>
      </c>
      <c r="G497" s="123" t="str">
        <f t="shared" si="34"/>
        <v>#VALUE!</v>
      </c>
      <c r="H497" s="81">
        <v>12.0</v>
      </c>
      <c r="I497" s="63">
        <f t="shared" si="33"/>
        <v>0</v>
      </c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19" t="s">
        <v>954</v>
      </c>
      <c r="B498" s="120">
        <v>0.0</v>
      </c>
      <c r="C498" s="122" t="s">
        <v>1232</v>
      </c>
      <c r="D498" s="58">
        <v>0.0</v>
      </c>
      <c r="E498" s="59">
        <f t="shared" si="31"/>
        <v>0</v>
      </c>
      <c r="F498" s="60">
        <v>0.3</v>
      </c>
      <c r="G498" s="123" t="str">
        <f t="shared" si="34"/>
        <v>#VALUE!</v>
      </c>
      <c r="H498" s="81">
        <v>12.0</v>
      </c>
      <c r="I498" s="63">
        <f t="shared" si="33"/>
        <v>0</v>
      </c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19" t="s">
        <v>955</v>
      </c>
      <c r="B499" s="120">
        <v>0.0</v>
      </c>
      <c r="C499" s="122" t="s">
        <v>1232</v>
      </c>
      <c r="D499" s="58">
        <v>0.0</v>
      </c>
      <c r="E499" s="59">
        <f t="shared" si="31"/>
        <v>0</v>
      </c>
      <c r="F499" s="60">
        <v>0.3</v>
      </c>
      <c r="G499" s="123" t="str">
        <f t="shared" si="34"/>
        <v>#VALUE!</v>
      </c>
      <c r="H499" s="81">
        <v>12.0</v>
      </c>
      <c r="I499" s="63">
        <f t="shared" si="33"/>
        <v>0</v>
      </c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19" t="s">
        <v>956</v>
      </c>
      <c r="B500" s="120">
        <v>0.0</v>
      </c>
      <c r="C500" s="122" t="s">
        <v>1232</v>
      </c>
      <c r="D500" s="58">
        <v>0.0</v>
      </c>
      <c r="E500" s="59">
        <f t="shared" si="31"/>
        <v>0</v>
      </c>
      <c r="F500" s="60">
        <v>0.3</v>
      </c>
      <c r="G500" s="123" t="str">
        <f t="shared" si="34"/>
        <v>#VALUE!</v>
      </c>
      <c r="H500" s="81">
        <v>12.0</v>
      </c>
      <c r="I500" s="63">
        <f t="shared" si="33"/>
        <v>0</v>
      </c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19" t="s">
        <v>957</v>
      </c>
      <c r="B501" s="120">
        <v>0.0</v>
      </c>
      <c r="C501" s="122" t="s">
        <v>1232</v>
      </c>
      <c r="D501" s="58">
        <v>0.0</v>
      </c>
      <c r="E501" s="59">
        <f t="shared" si="31"/>
        <v>0</v>
      </c>
      <c r="F501" s="60">
        <v>0.3</v>
      </c>
      <c r="G501" s="123" t="str">
        <f t="shared" si="34"/>
        <v>#VALUE!</v>
      </c>
      <c r="H501" s="81">
        <v>12.0</v>
      </c>
      <c r="I501" s="63">
        <f t="shared" si="33"/>
        <v>0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19" t="s">
        <v>958</v>
      </c>
      <c r="B502" s="120">
        <v>0.0</v>
      </c>
      <c r="C502" s="122" t="s">
        <v>1232</v>
      </c>
      <c r="D502" s="58">
        <v>0.0</v>
      </c>
      <c r="E502" s="59">
        <f t="shared" si="31"/>
        <v>0</v>
      </c>
      <c r="F502" s="60">
        <v>0.3</v>
      </c>
      <c r="G502" s="123" t="str">
        <f t="shared" si="34"/>
        <v>#VALUE!</v>
      </c>
      <c r="H502" s="81">
        <v>12.0</v>
      </c>
      <c r="I502" s="63">
        <f t="shared" si="33"/>
        <v>0</v>
      </c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19" t="s">
        <v>959</v>
      </c>
      <c r="B503" s="120">
        <v>0.0</v>
      </c>
      <c r="C503" s="122" t="s">
        <v>1232</v>
      </c>
      <c r="D503" s="58">
        <v>0.0</v>
      </c>
      <c r="E503" s="59">
        <f t="shared" si="31"/>
        <v>0</v>
      </c>
      <c r="F503" s="60">
        <v>0.3</v>
      </c>
      <c r="G503" s="123" t="str">
        <f t="shared" si="34"/>
        <v>#VALUE!</v>
      </c>
      <c r="H503" s="81">
        <v>12.0</v>
      </c>
      <c r="I503" s="63">
        <f t="shared" si="33"/>
        <v>0</v>
      </c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19" t="s">
        <v>960</v>
      </c>
      <c r="B504" s="120">
        <v>0.0</v>
      </c>
      <c r="C504" s="122" t="s">
        <v>1232</v>
      </c>
      <c r="D504" s="58">
        <v>0.0</v>
      </c>
      <c r="E504" s="59">
        <f t="shared" si="31"/>
        <v>0</v>
      </c>
      <c r="F504" s="60">
        <v>0.3</v>
      </c>
      <c r="G504" s="123" t="str">
        <f t="shared" si="34"/>
        <v>#VALUE!</v>
      </c>
      <c r="H504" s="81">
        <v>12.0</v>
      </c>
      <c r="I504" s="63">
        <f t="shared" si="33"/>
        <v>0</v>
      </c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19" t="s">
        <v>961</v>
      </c>
      <c r="B505" s="120">
        <v>0.0</v>
      </c>
      <c r="C505" s="122" t="s">
        <v>1232</v>
      </c>
      <c r="D505" s="58">
        <v>0.0</v>
      </c>
      <c r="E505" s="59">
        <f t="shared" si="31"/>
        <v>0</v>
      </c>
      <c r="F505" s="60">
        <v>0.3</v>
      </c>
      <c r="G505" s="123" t="str">
        <f t="shared" si="34"/>
        <v>#VALUE!</v>
      </c>
      <c r="H505" s="81">
        <v>12.0</v>
      </c>
      <c r="I505" s="63">
        <f t="shared" si="33"/>
        <v>0</v>
      </c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19" t="s">
        <v>962</v>
      </c>
      <c r="B506" s="120">
        <v>0.0</v>
      </c>
      <c r="C506" s="122" t="s">
        <v>1232</v>
      </c>
      <c r="D506" s="58">
        <v>0.0</v>
      </c>
      <c r="E506" s="59">
        <f t="shared" si="31"/>
        <v>0</v>
      </c>
      <c r="F506" s="60">
        <v>0.3</v>
      </c>
      <c r="G506" s="123" t="str">
        <f t="shared" si="34"/>
        <v>#VALUE!</v>
      </c>
      <c r="H506" s="81">
        <v>12.0</v>
      </c>
      <c r="I506" s="63">
        <f t="shared" si="33"/>
        <v>0</v>
      </c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19" t="s">
        <v>963</v>
      </c>
      <c r="B507" s="120">
        <v>0.0</v>
      </c>
      <c r="C507" s="122" t="s">
        <v>1232</v>
      </c>
      <c r="D507" s="58">
        <v>0.0</v>
      </c>
      <c r="E507" s="59">
        <f t="shared" si="31"/>
        <v>0</v>
      </c>
      <c r="F507" s="60">
        <v>0.3</v>
      </c>
      <c r="G507" s="123" t="str">
        <f t="shared" si="34"/>
        <v>#VALUE!</v>
      </c>
      <c r="H507" s="81">
        <v>12.0</v>
      </c>
      <c r="I507" s="63">
        <f t="shared" si="33"/>
        <v>0</v>
      </c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19" t="s">
        <v>964</v>
      </c>
      <c r="B508" s="120">
        <v>0.0</v>
      </c>
      <c r="C508" s="122" t="s">
        <v>1232</v>
      </c>
      <c r="D508" s="58">
        <v>0.0</v>
      </c>
      <c r="E508" s="59">
        <f t="shared" si="31"/>
        <v>0</v>
      </c>
      <c r="F508" s="60">
        <v>0.3</v>
      </c>
      <c r="G508" s="123" t="str">
        <f t="shared" si="34"/>
        <v>#VALUE!</v>
      </c>
      <c r="H508" s="81">
        <v>12.0</v>
      </c>
      <c r="I508" s="63">
        <f t="shared" si="33"/>
        <v>0</v>
      </c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19" t="s">
        <v>965</v>
      </c>
      <c r="B509" s="120">
        <v>3.0</v>
      </c>
      <c r="C509" s="122" t="s">
        <v>1232</v>
      </c>
      <c r="D509" s="58">
        <v>0.0</v>
      </c>
      <c r="E509" s="59">
        <f t="shared" si="31"/>
        <v>3</v>
      </c>
      <c r="F509" s="60">
        <v>0.3</v>
      </c>
      <c r="G509" s="123" t="str">
        <f t="shared" si="34"/>
        <v>#VALUE!</v>
      </c>
      <c r="H509" s="81">
        <v>12.0</v>
      </c>
      <c r="I509" s="63">
        <f t="shared" si="33"/>
        <v>36</v>
      </c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19" t="s">
        <v>966</v>
      </c>
      <c r="B510" s="120">
        <v>0.0</v>
      </c>
      <c r="C510" s="122" t="s">
        <v>1232</v>
      </c>
      <c r="D510" s="58">
        <v>0.0</v>
      </c>
      <c r="E510" s="59">
        <f t="shared" si="31"/>
        <v>0</v>
      </c>
      <c r="F510" s="60">
        <v>0.3</v>
      </c>
      <c r="G510" s="123" t="str">
        <f t="shared" si="34"/>
        <v>#VALUE!</v>
      </c>
      <c r="H510" s="81">
        <v>12.0</v>
      </c>
      <c r="I510" s="63">
        <f t="shared" si="33"/>
        <v>0</v>
      </c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19" t="s">
        <v>967</v>
      </c>
      <c r="B511" s="120">
        <v>1.0</v>
      </c>
      <c r="C511" s="122" t="s">
        <v>1232</v>
      </c>
      <c r="D511" s="58">
        <v>0.0</v>
      </c>
      <c r="E511" s="59">
        <f t="shared" si="31"/>
        <v>1</v>
      </c>
      <c r="F511" s="60">
        <v>0.3</v>
      </c>
      <c r="G511" s="123" t="str">
        <f t="shared" si="34"/>
        <v>#VALUE!</v>
      </c>
      <c r="H511" s="81">
        <v>12.0</v>
      </c>
      <c r="I511" s="63">
        <f t="shared" si="33"/>
        <v>12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19" t="s">
        <v>968</v>
      </c>
      <c r="B512" s="120">
        <v>0.0</v>
      </c>
      <c r="C512" s="122" t="s">
        <v>1232</v>
      </c>
      <c r="D512" s="58">
        <v>0.0</v>
      </c>
      <c r="E512" s="59">
        <f t="shared" si="31"/>
        <v>0</v>
      </c>
      <c r="F512" s="60">
        <v>0.3</v>
      </c>
      <c r="G512" s="123" t="str">
        <f t="shared" si="34"/>
        <v>#VALUE!</v>
      </c>
      <c r="H512" s="81">
        <v>12.0</v>
      </c>
      <c r="I512" s="63">
        <f t="shared" si="33"/>
        <v>0</v>
      </c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19" t="s">
        <v>970</v>
      </c>
      <c r="B513" s="120">
        <v>0.0</v>
      </c>
      <c r="C513" s="122" t="s">
        <v>1232</v>
      </c>
      <c r="D513" s="58">
        <v>0.0</v>
      </c>
      <c r="E513" s="59">
        <f t="shared" si="31"/>
        <v>0</v>
      </c>
      <c r="F513" s="60">
        <v>0.3</v>
      </c>
      <c r="G513" s="123" t="str">
        <f t="shared" si="34"/>
        <v>#VALUE!</v>
      </c>
      <c r="H513" s="81">
        <v>12.0</v>
      </c>
      <c r="I513" s="63">
        <f t="shared" si="33"/>
        <v>0</v>
      </c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19" t="s">
        <v>972</v>
      </c>
      <c r="B514" s="120">
        <v>7.0</v>
      </c>
      <c r="C514" s="122" t="s">
        <v>1232</v>
      </c>
      <c r="D514" s="58">
        <v>0.0</v>
      </c>
      <c r="E514" s="59">
        <f t="shared" si="31"/>
        <v>7</v>
      </c>
      <c r="F514" s="60">
        <v>0.3</v>
      </c>
      <c r="G514" s="123" t="str">
        <f t="shared" si="34"/>
        <v>#VALUE!</v>
      </c>
      <c r="H514" s="81">
        <v>12.0</v>
      </c>
      <c r="I514" s="63">
        <f t="shared" si="33"/>
        <v>84</v>
      </c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19" t="s">
        <v>973</v>
      </c>
      <c r="B515" s="120">
        <v>4.0</v>
      </c>
      <c r="C515" s="122" t="s">
        <v>1232</v>
      </c>
      <c r="D515" s="58">
        <v>0.0</v>
      </c>
      <c r="E515" s="59">
        <f t="shared" si="31"/>
        <v>4</v>
      </c>
      <c r="F515" s="60">
        <v>0.3</v>
      </c>
      <c r="G515" s="123" t="str">
        <f t="shared" si="34"/>
        <v>#VALUE!</v>
      </c>
      <c r="H515" s="81">
        <v>12.0</v>
      </c>
      <c r="I515" s="63">
        <f t="shared" si="33"/>
        <v>48</v>
      </c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19" t="s">
        <v>975</v>
      </c>
      <c r="B516" s="120">
        <v>0.0</v>
      </c>
      <c r="C516" s="122" t="s">
        <v>1232</v>
      </c>
      <c r="D516" s="58">
        <v>0.0</v>
      </c>
      <c r="E516" s="59">
        <f t="shared" si="31"/>
        <v>0</v>
      </c>
      <c r="F516" s="60">
        <v>0.3</v>
      </c>
      <c r="G516" s="123" t="str">
        <f t="shared" si="34"/>
        <v>#VALUE!</v>
      </c>
      <c r="H516" s="81">
        <v>12.0</v>
      </c>
      <c r="I516" s="63">
        <f t="shared" si="33"/>
        <v>0</v>
      </c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19" t="s">
        <v>976</v>
      </c>
      <c r="B517" s="120">
        <v>0.0</v>
      </c>
      <c r="C517" s="122" t="s">
        <v>1232</v>
      </c>
      <c r="D517" s="58">
        <v>0.0</v>
      </c>
      <c r="E517" s="59">
        <f t="shared" si="31"/>
        <v>0</v>
      </c>
      <c r="F517" s="60">
        <v>0.3</v>
      </c>
      <c r="G517" s="123" t="str">
        <f t="shared" si="34"/>
        <v>#VALUE!</v>
      </c>
      <c r="H517" s="81">
        <v>12.0</v>
      </c>
      <c r="I517" s="63">
        <f t="shared" si="33"/>
        <v>0</v>
      </c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19" t="s">
        <v>977</v>
      </c>
      <c r="B518" s="120">
        <v>0.0</v>
      </c>
      <c r="C518" s="122" t="s">
        <v>1232</v>
      </c>
      <c r="D518" s="58">
        <v>0.0</v>
      </c>
      <c r="E518" s="59">
        <f t="shared" si="31"/>
        <v>0</v>
      </c>
      <c r="F518" s="60">
        <v>0.3</v>
      </c>
      <c r="G518" s="123" t="str">
        <f t="shared" si="34"/>
        <v>#VALUE!</v>
      </c>
      <c r="H518" s="81">
        <v>12.0</v>
      </c>
      <c r="I518" s="63">
        <f t="shared" si="33"/>
        <v>0</v>
      </c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19" t="s">
        <v>978</v>
      </c>
      <c r="B519" s="120">
        <v>0.0</v>
      </c>
      <c r="C519" s="122" t="s">
        <v>1232</v>
      </c>
      <c r="D519" s="58">
        <v>0.0</v>
      </c>
      <c r="E519" s="59">
        <f t="shared" si="31"/>
        <v>0</v>
      </c>
      <c r="F519" s="60">
        <v>0.3</v>
      </c>
      <c r="G519" s="123" t="str">
        <f t="shared" si="34"/>
        <v>#VALUE!</v>
      </c>
      <c r="H519" s="81">
        <v>12.0</v>
      </c>
      <c r="I519" s="63">
        <f t="shared" si="33"/>
        <v>0</v>
      </c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19" t="s">
        <v>979</v>
      </c>
      <c r="B520" s="120">
        <v>0.0</v>
      </c>
      <c r="C520" s="122" t="s">
        <v>1232</v>
      </c>
      <c r="D520" s="58">
        <v>0.0</v>
      </c>
      <c r="E520" s="59">
        <f t="shared" si="31"/>
        <v>0</v>
      </c>
      <c r="F520" s="60">
        <v>0.3</v>
      </c>
      <c r="G520" s="123" t="str">
        <f t="shared" si="34"/>
        <v>#VALUE!</v>
      </c>
      <c r="H520" s="81">
        <v>12.0</v>
      </c>
      <c r="I520" s="63">
        <f t="shared" si="33"/>
        <v>0</v>
      </c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19" t="s">
        <v>981</v>
      </c>
      <c r="B521" s="120">
        <v>0.0</v>
      </c>
      <c r="C521" s="122" t="s">
        <v>1232</v>
      </c>
      <c r="D521" s="58">
        <v>0.0</v>
      </c>
      <c r="E521" s="59">
        <f t="shared" si="31"/>
        <v>0</v>
      </c>
      <c r="F521" s="60">
        <v>0.3</v>
      </c>
      <c r="G521" s="123" t="str">
        <f t="shared" si="34"/>
        <v>#VALUE!</v>
      </c>
      <c r="H521" s="81">
        <v>12.0</v>
      </c>
      <c r="I521" s="63">
        <f t="shared" si="33"/>
        <v>0</v>
      </c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19" t="s">
        <v>983</v>
      </c>
      <c r="B522" s="120">
        <v>1.0</v>
      </c>
      <c r="C522" s="122" t="s">
        <v>1232</v>
      </c>
      <c r="D522" s="58">
        <v>0.0</v>
      </c>
      <c r="E522" s="59">
        <f t="shared" si="31"/>
        <v>1</v>
      </c>
      <c r="F522" s="60">
        <v>0.3</v>
      </c>
      <c r="G522" s="123" t="str">
        <f t="shared" si="34"/>
        <v>#VALUE!</v>
      </c>
      <c r="H522" s="81">
        <v>12.0</v>
      </c>
      <c r="I522" s="63">
        <f t="shared" si="33"/>
        <v>12</v>
      </c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19" t="s">
        <v>984</v>
      </c>
      <c r="B523" s="120">
        <v>0.0</v>
      </c>
      <c r="C523" s="122" t="s">
        <v>1232</v>
      </c>
      <c r="D523" s="58">
        <v>0.0</v>
      </c>
      <c r="E523" s="59">
        <f t="shared" si="31"/>
        <v>0</v>
      </c>
      <c r="F523" s="60">
        <v>0.3</v>
      </c>
      <c r="G523" s="123" t="str">
        <f t="shared" si="34"/>
        <v>#VALUE!</v>
      </c>
      <c r="H523" s="81">
        <v>12.0</v>
      </c>
      <c r="I523" s="63">
        <f t="shared" si="33"/>
        <v>0</v>
      </c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19" t="s">
        <v>986</v>
      </c>
      <c r="B524" s="120">
        <v>3.0</v>
      </c>
      <c r="C524" s="122" t="s">
        <v>1232</v>
      </c>
      <c r="D524" s="58">
        <v>0.0</v>
      </c>
      <c r="E524" s="59">
        <f t="shared" si="31"/>
        <v>3</v>
      </c>
      <c r="F524" s="60">
        <v>0.3</v>
      </c>
      <c r="G524" s="123" t="str">
        <f t="shared" si="34"/>
        <v>#VALUE!</v>
      </c>
      <c r="H524" s="81">
        <v>12.0</v>
      </c>
      <c r="I524" s="63">
        <f t="shared" si="33"/>
        <v>36</v>
      </c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19" t="s">
        <v>987</v>
      </c>
      <c r="B525" s="120">
        <v>5.0</v>
      </c>
      <c r="C525" s="122" t="s">
        <v>1232</v>
      </c>
      <c r="D525" s="58">
        <v>0.0</v>
      </c>
      <c r="E525" s="59">
        <f t="shared" si="31"/>
        <v>5</v>
      </c>
      <c r="F525" s="60">
        <v>0.3</v>
      </c>
      <c r="G525" s="123" t="str">
        <f t="shared" si="34"/>
        <v>#VALUE!</v>
      </c>
      <c r="H525" s="81">
        <v>12.0</v>
      </c>
      <c r="I525" s="63">
        <f t="shared" si="33"/>
        <v>60</v>
      </c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19" t="s">
        <v>988</v>
      </c>
      <c r="B526" s="120">
        <v>0.0</v>
      </c>
      <c r="C526" s="122" t="s">
        <v>1232</v>
      </c>
      <c r="D526" s="58">
        <v>0.0</v>
      </c>
      <c r="E526" s="59">
        <f t="shared" si="31"/>
        <v>0</v>
      </c>
      <c r="F526" s="60">
        <v>0.3</v>
      </c>
      <c r="G526" s="123" t="str">
        <f t="shared" si="34"/>
        <v>#VALUE!</v>
      </c>
      <c r="H526" s="81">
        <v>12.0</v>
      </c>
      <c r="I526" s="63">
        <f t="shared" si="33"/>
        <v>0</v>
      </c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19" t="s">
        <v>989</v>
      </c>
      <c r="B527" s="120">
        <v>0.0</v>
      </c>
      <c r="C527" s="122" t="s">
        <v>1232</v>
      </c>
      <c r="D527" s="58">
        <v>0.0</v>
      </c>
      <c r="E527" s="59">
        <f t="shared" si="31"/>
        <v>0</v>
      </c>
      <c r="F527" s="60">
        <v>0.3</v>
      </c>
      <c r="G527" s="123" t="str">
        <f t="shared" si="34"/>
        <v>#VALUE!</v>
      </c>
      <c r="H527" s="81">
        <v>12.0</v>
      </c>
      <c r="I527" s="63">
        <f t="shared" si="33"/>
        <v>0</v>
      </c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19" t="s">
        <v>990</v>
      </c>
      <c r="B528" s="120">
        <v>0.0</v>
      </c>
      <c r="C528" s="122" t="s">
        <v>1232</v>
      </c>
      <c r="D528" s="58">
        <v>0.0</v>
      </c>
      <c r="E528" s="59">
        <f t="shared" si="31"/>
        <v>0</v>
      </c>
      <c r="F528" s="60">
        <v>0.3</v>
      </c>
      <c r="G528" s="123" t="str">
        <f t="shared" si="34"/>
        <v>#VALUE!</v>
      </c>
      <c r="H528" s="81">
        <v>12.0</v>
      </c>
      <c r="I528" s="63">
        <f t="shared" si="33"/>
        <v>0</v>
      </c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19" t="s">
        <v>991</v>
      </c>
      <c r="B529" s="120">
        <v>0.0</v>
      </c>
      <c r="C529" s="122" t="s">
        <v>1232</v>
      </c>
      <c r="D529" s="58">
        <v>0.0</v>
      </c>
      <c r="E529" s="59">
        <f t="shared" si="31"/>
        <v>0</v>
      </c>
      <c r="F529" s="60">
        <v>0.3</v>
      </c>
      <c r="G529" s="123" t="str">
        <f t="shared" si="34"/>
        <v>#VALUE!</v>
      </c>
      <c r="H529" s="81">
        <v>12.0</v>
      </c>
      <c r="I529" s="63">
        <f t="shared" si="33"/>
        <v>0</v>
      </c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19" t="s">
        <v>992</v>
      </c>
      <c r="B530" s="120">
        <v>1.0</v>
      </c>
      <c r="C530" s="122" t="s">
        <v>1232</v>
      </c>
      <c r="D530" s="58">
        <v>0.0</v>
      </c>
      <c r="E530" s="59">
        <f t="shared" si="31"/>
        <v>1</v>
      </c>
      <c r="F530" s="60">
        <v>0.3</v>
      </c>
      <c r="G530" s="123" t="str">
        <f t="shared" si="34"/>
        <v>#VALUE!</v>
      </c>
      <c r="H530" s="81">
        <v>12.0</v>
      </c>
      <c r="I530" s="63">
        <f t="shared" si="33"/>
        <v>12</v>
      </c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19" t="s">
        <v>993</v>
      </c>
      <c r="B531" s="120">
        <v>0.0</v>
      </c>
      <c r="C531" s="122" t="s">
        <v>1232</v>
      </c>
      <c r="D531" s="58">
        <v>0.0</v>
      </c>
      <c r="E531" s="59">
        <f t="shared" si="31"/>
        <v>0</v>
      </c>
      <c r="F531" s="60">
        <v>0.3</v>
      </c>
      <c r="G531" s="123" t="str">
        <f t="shared" si="34"/>
        <v>#VALUE!</v>
      </c>
      <c r="H531" s="81">
        <v>12.0</v>
      </c>
      <c r="I531" s="63">
        <f t="shared" si="33"/>
        <v>0</v>
      </c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19" t="s">
        <v>995</v>
      </c>
      <c r="B532" s="120">
        <v>0.0</v>
      </c>
      <c r="C532" s="122" t="s">
        <v>1232</v>
      </c>
      <c r="D532" s="58">
        <v>0.0</v>
      </c>
      <c r="E532" s="59">
        <f t="shared" si="31"/>
        <v>0</v>
      </c>
      <c r="F532" s="60">
        <v>0.3</v>
      </c>
      <c r="G532" s="123" t="str">
        <f t="shared" si="34"/>
        <v>#VALUE!</v>
      </c>
      <c r="H532" s="81">
        <v>12.0</v>
      </c>
      <c r="I532" s="63">
        <f t="shared" si="33"/>
        <v>0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19" t="s">
        <v>997</v>
      </c>
      <c r="B533" s="120">
        <v>3.0</v>
      </c>
      <c r="C533" s="122" t="s">
        <v>1232</v>
      </c>
      <c r="D533" s="58">
        <v>0.0</v>
      </c>
      <c r="E533" s="59">
        <f t="shared" si="31"/>
        <v>3</v>
      </c>
      <c r="F533" s="60">
        <v>0.3</v>
      </c>
      <c r="G533" s="123" t="str">
        <f t="shared" si="34"/>
        <v>#VALUE!</v>
      </c>
      <c r="H533" s="81">
        <v>12.0</v>
      </c>
      <c r="I533" s="63">
        <f t="shared" si="33"/>
        <v>36</v>
      </c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19" t="s">
        <v>998</v>
      </c>
      <c r="B534" s="120">
        <v>0.0</v>
      </c>
      <c r="C534" s="122" t="s">
        <v>1232</v>
      </c>
      <c r="D534" s="58">
        <v>0.0</v>
      </c>
      <c r="E534" s="59">
        <f t="shared" si="31"/>
        <v>0</v>
      </c>
      <c r="F534" s="60">
        <v>0.3</v>
      </c>
      <c r="G534" s="123" t="str">
        <f t="shared" si="34"/>
        <v>#VALUE!</v>
      </c>
      <c r="H534" s="81">
        <v>12.0</v>
      </c>
      <c r="I534" s="63">
        <f t="shared" si="33"/>
        <v>0</v>
      </c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19" t="s">
        <v>999</v>
      </c>
      <c r="B535" s="120">
        <v>0.0</v>
      </c>
      <c r="C535" s="122" t="s">
        <v>1232</v>
      </c>
      <c r="D535" s="58">
        <v>0.0</v>
      </c>
      <c r="E535" s="59">
        <f t="shared" si="31"/>
        <v>0</v>
      </c>
      <c r="F535" s="60">
        <v>0.3</v>
      </c>
      <c r="G535" s="123" t="str">
        <f t="shared" si="34"/>
        <v>#VALUE!</v>
      </c>
      <c r="H535" s="81">
        <v>12.0</v>
      </c>
      <c r="I535" s="63">
        <f t="shared" si="33"/>
        <v>0</v>
      </c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19" t="s">
        <v>1001</v>
      </c>
      <c r="B536" s="120">
        <v>2.0</v>
      </c>
      <c r="C536" s="122" t="s">
        <v>1232</v>
      </c>
      <c r="D536" s="58">
        <v>0.0</v>
      </c>
      <c r="E536" s="59">
        <f t="shared" si="31"/>
        <v>2</v>
      </c>
      <c r="F536" s="60">
        <v>0.3</v>
      </c>
      <c r="G536" s="123" t="str">
        <f t="shared" si="34"/>
        <v>#VALUE!</v>
      </c>
      <c r="H536" s="81">
        <v>12.0</v>
      </c>
      <c r="I536" s="63">
        <f t="shared" si="33"/>
        <v>24</v>
      </c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19" t="s">
        <v>1002</v>
      </c>
      <c r="B537" s="120">
        <v>0.0</v>
      </c>
      <c r="C537" s="122" t="s">
        <v>1232</v>
      </c>
      <c r="D537" s="58">
        <v>0.0</v>
      </c>
      <c r="E537" s="59">
        <f t="shared" si="31"/>
        <v>0</v>
      </c>
      <c r="F537" s="60">
        <v>0.3</v>
      </c>
      <c r="G537" s="123" t="str">
        <f t="shared" si="34"/>
        <v>#VALUE!</v>
      </c>
      <c r="H537" s="81">
        <v>12.0</v>
      </c>
      <c r="I537" s="63">
        <f t="shared" si="33"/>
        <v>0</v>
      </c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19" t="s">
        <v>1003</v>
      </c>
      <c r="B538" s="120">
        <v>0.0</v>
      </c>
      <c r="C538" s="122" t="s">
        <v>1232</v>
      </c>
      <c r="D538" s="58">
        <v>0.0</v>
      </c>
      <c r="E538" s="59">
        <f t="shared" si="31"/>
        <v>0</v>
      </c>
      <c r="F538" s="60">
        <v>0.3</v>
      </c>
      <c r="G538" s="123" t="str">
        <f t="shared" si="34"/>
        <v>#VALUE!</v>
      </c>
      <c r="H538" s="81">
        <v>12.0</v>
      </c>
      <c r="I538" s="63">
        <f t="shared" si="33"/>
        <v>0</v>
      </c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19" t="s">
        <v>1004</v>
      </c>
      <c r="B539" s="120">
        <v>0.0</v>
      </c>
      <c r="C539" s="122" t="s">
        <v>1232</v>
      </c>
      <c r="D539" s="58">
        <v>0.0</v>
      </c>
      <c r="E539" s="59">
        <f t="shared" si="31"/>
        <v>0</v>
      </c>
      <c r="F539" s="60">
        <v>0.3</v>
      </c>
      <c r="G539" s="123" t="str">
        <f t="shared" si="34"/>
        <v>#VALUE!</v>
      </c>
      <c r="H539" s="81">
        <v>12.0</v>
      </c>
      <c r="I539" s="63">
        <f t="shared" si="33"/>
        <v>0</v>
      </c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19" t="s">
        <v>1005</v>
      </c>
      <c r="B540" s="120">
        <v>0.0</v>
      </c>
      <c r="C540" s="122" t="s">
        <v>1232</v>
      </c>
      <c r="D540" s="58">
        <v>0.0</v>
      </c>
      <c r="E540" s="59">
        <f t="shared" si="31"/>
        <v>0</v>
      </c>
      <c r="F540" s="60">
        <v>0.3</v>
      </c>
      <c r="G540" s="123" t="str">
        <f t="shared" si="34"/>
        <v>#VALUE!</v>
      </c>
      <c r="H540" s="81">
        <v>12.0</v>
      </c>
      <c r="I540" s="63">
        <f t="shared" si="33"/>
        <v>0</v>
      </c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19" t="s">
        <v>1006</v>
      </c>
      <c r="B541" s="120">
        <v>0.0</v>
      </c>
      <c r="C541" s="122" t="s">
        <v>1232</v>
      </c>
      <c r="D541" s="58">
        <v>0.0</v>
      </c>
      <c r="E541" s="59">
        <f t="shared" si="31"/>
        <v>0</v>
      </c>
      <c r="F541" s="60">
        <v>0.3</v>
      </c>
      <c r="G541" s="123" t="str">
        <f t="shared" si="34"/>
        <v>#VALUE!</v>
      </c>
      <c r="H541" s="81">
        <v>12.0</v>
      </c>
      <c r="I541" s="63">
        <f t="shared" si="33"/>
        <v>0</v>
      </c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19" t="s">
        <v>1007</v>
      </c>
      <c r="B542" s="120">
        <v>0.0</v>
      </c>
      <c r="C542" s="122" t="s">
        <v>1232</v>
      </c>
      <c r="D542" s="58">
        <v>0.0</v>
      </c>
      <c r="E542" s="59">
        <f t="shared" si="31"/>
        <v>0</v>
      </c>
      <c r="F542" s="60">
        <v>0.3</v>
      </c>
      <c r="G542" s="123" t="str">
        <f t="shared" si="34"/>
        <v>#VALUE!</v>
      </c>
      <c r="H542" s="81">
        <v>12.0</v>
      </c>
      <c r="I542" s="63">
        <f t="shared" si="33"/>
        <v>0</v>
      </c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19" t="s">
        <v>1008</v>
      </c>
      <c r="B543" s="120">
        <v>0.0</v>
      </c>
      <c r="C543" s="122" t="s">
        <v>1232</v>
      </c>
      <c r="D543" s="58">
        <v>0.0</v>
      </c>
      <c r="E543" s="59">
        <f t="shared" si="31"/>
        <v>0</v>
      </c>
      <c r="F543" s="60">
        <v>0.3</v>
      </c>
      <c r="G543" s="123" t="str">
        <f t="shared" si="34"/>
        <v>#VALUE!</v>
      </c>
      <c r="H543" s="81">
        <v>12.0</v>
      </c>
      <c r="I543" s="63">
        <f t="shared" si="33"/>
        <v>0</v>
      </c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19" t="s">
        <v>1009</v>
      </c>
      <c r="B544" s="120">
        <v>0.0</v>
      </c>
      <c r="C544" s="122" t="s">
        <v>1232</v>
      </c>
      <c r="D544" s="58">
        <v>0.0</v>
      </c>
      <c r="E544" s="59">
        <f t="shared" si="31"/>
        <v>0</v>
      </c>
      <c r="F544" s="60">
        <v>0.3</v>
      </c>
      <c r="G544" s="123" t="str">
        <f t="shared" si="34"/>
        <v>#VALUE!</v>
      </c>
      <c r="H544" s="81">
        <v>12.0</v>
      </c>
      <c r="I544" s="63">
        <f t="shared" si="33"/>
        <v>0</v>
      </c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19" t="s">
        <v>1010</v>
      </c>
      <c r="B545" s="120">
        <v>0.0</v>
      </c>
      <c r="C545" s="122" t="s">
        <v>1232</v>
      </c>
      <c r="D545" s="58">
        <v>0.0</v>
      </c>
      <c r="E545" s="59">
        <f t="shared" si="31"/>
        <v>0</v>
      </c>
      <c r="F545" s="60">
        <v>0.3</v>
      </c>
      <c r="G545" s="123" t="str">
        <f t="shared" si="34"/>
        <v>#VALUE!</v>
      </c>
      <c r="H545" s="81">
        <v>12.0</v>
      </c>
      <c r="I545" s="63">
        <f t="shared" si="33"/>
        <v>0</v>
      </c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19" t="s">
        <v>1011</v>
      </c>
      <c r="B546" s="120">
        <v>0.0</v>
      </c>
      <c r="C546" s="122" t="s">
        <v>1232</v>
      </c>
      <c r="D546" s="58">
        <v>0.0</v>
      </c>
      <c r="E546" s="59">
        <f t="shared" si="31"/>
        <v>0</v>
      </c>
      <c r="F546" s="60">
        <v>0.3</v>
      </c>
      <c r="G546" s="123" t="str">
        <f t="shared" si="34"/>
        <v>#VALUE!</v>
      </c>
      <c r="H546" s="81">
        <v>12.0</v>
      </c>
      <c r="I546" s="63">
        <f t="shared" si="33"/>
        <v>0</v>
      </c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19" t="s">
        <v>1012</v>
      </c>
      <c r="B547" s="120">
        <v>0.0</v>
      </c>
      <c r="C547" s="122" t="s">
        <v>1232</v>
      </c>
      <c r="D547" s="58">
        <v>0.0</v>
      </c>
      <c r="E547" s="59">
        <f t="shared" si="31"/>
        <v>0</v>
      </c>
      <c r="F547" s="60">
        <v>0.3</v>
      </c>
      <c r="G547" s="123" t="str">
        <f t="shared" si="34"/>
        <v>#VALUE!</v>
      </c>
      <c r="H547" s="81">
        <v>12.0</v>
      </c>
      <c r="I547" s="63">
        <f t="shared" si="33"/>
        <v>0</v>
      </c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19" t="s">
        <v>1013</v>
      </c>
      <c r="B548" s="120">
        <v>0.0</v>
      </c>
      <c r="C548" s="122" t="s">
        <v>1232</v>
      </c>
      <c r="D548" s="58">
        <v>0.0</v>
      </c>
      <c r="E548" s="59">
        <f t="shared" si="31"/>
        <v>0</v>
      </c>
      <c r="F548" s="60">
        <v>0.3</v>
      </c>
      <c r="G548" s="123" t="str">
        <f t="shared" si="34"/>
        <v>#VALUE!</v>
      </c>
      <c r="H548" s="81">
        <v>12.0</v>
      </c>
      <c r="I548" s="63">
        <f t="shared" si="33"/>
        <v>0</v>
      </c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19" t="s">
        <v>1014</v>
      </c>
      <c r="B549" s="120">
        <v>0.0</v>
      </c>
      <c r="C549" s="122" t="s">
        <v>1232</v>
      </c>
      <c r="D549" s="58">
        <v>0.0</v>
      </c>
      <c r="E549" s="59">
        <f t="shared" si="31"/>
        <v>0</v>
      </c>
      <c r="F549" s="60">
        <v>0.3</v>
      </c>
      <c r="G549" s="123" t="str">
        <f t="shared" si="34"/>
        <v>#VALUE!</v>
      </c>
      <c r="H549" s="81">
        <v>12.0</v>
      </c>
      <c r="I549" s="63">
        <f t="shared" si="33"/>
        <v>0</v>
      </c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19" t="s">
        <v>1016</v>
      </c>
      <c r="B550" s="120">
        <v>0.0</v>
      </c>
      <c r="C550" s="122" t="s">
        <v>1232</v>
      </c>
      <c r="D550" s="58">
        <v>0.0</v>
      </c>
      <c r="E550" s="59">
        <f t="shared" si="31"/>
        <v>0</v>
      </c>
      <c r="F550" s="60">
        <v>0.3</v>
      </c>
      <c r="G550" s="123" t="str">
        <f t="shared" si="34"/>
        <v>#VALUE!</v>
      </c>
      <c r="H550" s="81">
        <v>12.0</v>
      </c>
      <c r="I550" s="63">
        <f t="shared" si="33"/>
        <v>0</v>
      </c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19" t="s">
        <v>1017</v>
      </c>
      <c r="B551" s="120">
        <v>0.0</v>
      </c>
      <c r="C551" s="122" t="s">
        <v>1232</v>
      </c>
      <c r="D551" s="58">
        <v>0.0</v>
      </c>
      <c r="E551" s="59">
        <f t="shared" si="31"/>
        <v>0</v>
      </c>
      <c r="F551" s="60">
        <v>0.3</v>
      </c>
      <c r="G551" s="123" t="str">
        <f t="shared" si="34"/>
        <v>#VALUE!</v>
      </c>
      <c r="H551" s="81">
        <v>12.0</v>
      </c>
      <c r="I551" s="63">
        <f t="shared" si="33"/>
        <v>0</v>
      </c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19" t="s">
        <v>1019</v>
      </c>
      <c r="B552" s="120">
        <v>0.0</v>
      </c>
      <c r="C552" s="122" t="s">
        <v>1232</v>
      </c>
      <c r="D552" s="58">
        <v>0.0</v>
      </c>
      <c r="E552" s="59">
        <f t="shared" si="31"/>
        <v>0</v>
      </c>
      <c r="F552" s="60">
        <v>0.3</v>
      </c>
      <c r="G552" s="123" t="str">
        <f t="shared" si="34"/>
        <v>#VALUE!</v>
      </c>
      <c r="H552" s="81">
        <v>12.0</v>
      </c>
      <c r="I552" s="63">
        <f t="shared" si="33"/>
        <v>0</v>
      </c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19" t="s">
        <v>1031</v>
      </c>
      <c r="B553" s="120">
        <v>1.0</v>
      </c>
      <c r="C553" s="122" t="s">
        <v>1232</v>
      </c>
      <c r="D553" s="58">
        <v>0.0</v>
      </c>
      <c r="E553" s="59">
        <f t="shared" si="31"/>
        <v>1</v>
      </c>
      <c r="F553" s="112"/>
      <c r="G553" s="123" t="str">
        <f t="shared" si="34"/>
        <v>#VALUE!</v>
      </c>
      <c r="H553" s="81">
        <v>12.0</v>
      </c>
      <c r="I553" s="63">
        <f t="shared" si="33"/>
        <v>12</v>
      </c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19" t="s">
        <v>1032</v>
      </c>
      <c r="B554" s="120">
        <v>2.0</v>
      </c>
      <c r="C554" s="122" t="s">
        <v>1232</v>
      </c>
      <c r="D554" s="58">
        <v>0.0</v>
      </c>
      <c r="E554" s="59">
        <f t="shared" si="31"/>
        <v>2</v>
      </c>
      <c r="F554" s="60">
        <v>0.3</v>
      </c>
      <c r="G554" s="123" t="str">
        <f t="shared" si="34"/>
        <v>#VALUE!</v>
      </c>
      <c r="H554" s="81">
        <v>12.0</v>
      </c>
      <c r="I554" s="63">
        <f t="shared" si="33"/>
        <v>24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19" t="s">
        <v>1035</v>
      </c>
      <c r="B555" s="120">
        <v>1.0</v>
      </c>
      <c r="C555" s="122" t="s">
        <v>1232</v>
      </c>
      <c r="D555" s="58">
        <v>0.0</v>
      </c>
      <c r="E555" s="59">
        <f t="shared" si="31"/>
        <v>1</v>
      </c>
      <c r="F555" s="60">
        <v>0.3</v>
      </c>
      <c r="G555" s="123" t="str">
        <f t="shared" si="34"/>
        <v>#VALUE!</v>
      </c>
      <c r="H555" s="81">
        <v>12.0</v>
      </c>
      <c r="I555" s="63">
        <f t="shared" si="33"/>
        <v>12</v>
      </c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19" t="s">
        <v>1037</v>
      </c>
      <c r="B556" s="120">
        <v>3.0</v>
      </c>
      <c r="C556" s="122" t="s">
        <v>1232</v>
      </c>
      <c r="D556" s="58">
        <v>0.0</v>
      </c>
      <c r="E556" s="59">
        <f t="shared" si="31"/>
        <v>3</v>
      </c>
      <c r="F556" s="60">
        <v>0.3</v>
      </c>
      <c r="G556" s="123" t="str">
        <f t="shared" si="34"/>
        <v>#VALUE!</v>
      </c>
      <c r="H556" s="81">
        <v>12.0</v>
      </c>
      <c r="I556" s="63">
        <f t="shared" si="33"/>
        <v>36</v>
      </c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19" t="s">
        <v>1039</v>
      </c>
      <c r="B557" s="120">
        <v>4.0</v>
      </c>
      <c r="C557" s="122" t="s">
        <v>1232</v>
      </c>
      <c r="D557" s="58">
        <v>0.0</v>
      </c>
      <c r="E557" s="59">
        <f t="shared" si="31"/>
        <v>4</v>
      </c>
      <c r="F557" s="60">
        <v>0.3</v>
      </c>
      <c r="G557" s="123" t="str">
        <f t="shared" si="34"/>
        <v>#VALUE!</v>
      </c>
      <c r="H557" s="81">
        <v>12.0</v>
      </c>
      <c r="I557" s="63">
        <f t="shared" si="33"/>
        <v>48</v>
      </c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19" t="s">
        <v>1040</v>
      </c>
      <c r="B558" s="120">
        <v>1.0</v>
      </c>
      <c r="C558" s="122" t="s">
        <v>1232</v>
      </c>
      <c r="D558" s="58">
        <v>0.0</v>
      </c>
      <c r="E558" s="59">
        <f t="shared" si="31"/>
        <v>1</v>
      </c>
      <c r="F558" s="60">
        <v>0.3</v>
      </c>
      <c r="G558" s="123" t="str">
        <f t="shared" si="34"/>
        <v>#VALUE!</v>
      </c>
      <c r="H558" s="81">
        <v>12.0</v>
      </c>
      <c r="I558" s="63">
        <f t="shared" si="33"/>
        <v>12</v>
      </c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19" t="s">
        <v>1041</v>
      </c>
      <c r="B559" s="120">
        <v>2.0</v>
      </c>
      <c r="C559" s="122" t="s">
        <v>1232</v>
      </c>
      <c r="D559" s="58">
        <v>0.0</v>
      </c>
      <c r="E559" s="59">
        <f t="shared" si="31"/>
        <v>2</v>
      </c>
      <c r="F559" s="60">
        <v>0.3</v>
      </c>
      <c r="G559" s="123" t="str">
        <f t="shared" si="34"/>
        <v>#VALUE!</v>
      </c>
      <c r="H559" s="81">
        <v>15.0</v>
      </c>
      <c r="I559" s="63">
        <f t="shared" si="33"/>
        <v>30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19" t="s">
        <v>1042</v>
      </c>
      <c r="B560" s="120">
        <v>4.0</v>
      </c>
      <c r="C560" s="122" t="s">
        <v>1232</v>
      </c>
      <c r="D560" s="58">
        <v>0.0</v>
      </c>
      <c r="E560" s="59">
        <f t="shared" si="31"/>
        <v>4</v>
      </c>
      <c r="F560" s="60">
        <v>0.3</v>
      </c>
      <c r="G560" s="123" t="str">
        <f t="shared" si="34"/>
        <v>#VALUE!</v>
      </c>
      <c r="H560" s="81">
        <v>11.0</v>
      </c>
      <c r="I560" s="63">
        <f t="shared" si="33"/>
        <v>44</v>
      </c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19" t="s">
        <v>1044</v>
      </c>
      <c r="B561" s="120">
        <v>1.0</v>
      </c>
      <c r="C561" s="122" t="s">
        <v>1232</v>
      </c>
      <c r="D561" s="58">
        <v>0.0</v>
      </c>
      <c r="E561" s="59">
        <f t="shared" si="31"/>
        <v>1</v>
      </c>
      <c r="F561" s="60">
        <v>0.3</v>
      </c>
      <c r="G561" s="123" t="str">
        <f t="shared" si="34"/>
        <v>#VALUE!</v>
      </c>
      <c r="H561" s="81">
        <v>12.0</v>
      </c>
      <c r="I561" s="63">
        <f t="shared" si="33"/>
        <v>12</v>
      </c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19" t="s">
        <v>1047</v>
      </c>
      <c r="B562" s="120">
        <v>4.0</v>
      </c>
      <c r="C562" s="122" t="s">
        <v>1232</v>
      </c>
      <c r="D562" s="58">
        <v>0.0</v>
      </c>
      <c r="E562" s="59">
        <f t="shared" si="31"/>
        <v>4</v>
      </c>
      <c r="F562" s="60">
        <v>0.3</v>
      </c>
      <c r="G562" s="123" t="str">
        <f t="shared" si="34"/>
        <v>#VALUE!</v>
      </c>
      <c r="H562" s="81">
        <v>12.0</v>
      </c>
      <c r="I562" s="63">
        <f t="shared" si="33"/>
        <v>48</v>
      </c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19" t="s">
        <v>1062</v>
      </c>
      <c r="B563" s="120">
        <v>6.0</v>
      </c>
      <c r="C563" s="122" t="s">
        <v>1232</v>
      </c>
      <c r="D563" s="58">
        <v>0.0</v>
      </c>
      <c r="E563" s="59">
        <f t="shared" si="31"/>
        <v>6</v>
      </c>
      <c r="F563" s="60">
        <v>0.3</v>
      </c>
      <c r="G563" s="123" t="str">
        <f t="shared" si="34"/>
        <v>#VALUE!</v>
      </c>
      <c r="H563" s="81">
        <v>12.0</v>
      </c>
      <c r="I563" s="63">
        <f t="shared" si="33"/>
        <v>72</v>
      </c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19" t="s">
        <v>1048</v>
      </c>
      <c r="B564" s="120">
        <v>2.0</v>
      </c>
      <c r="C564" s="122" t="s">
        <v>1232</v>
      </c>
      <c r="D564" s="58">
        <v>0.0</v>
      </c>
      <c r="E564" s="59">
        <f t="shared" si="31"/>
        <v>2</v>
      </c>
      <c r="F564" s="60">
        <v>0.3</v>
      </c>
      <c r="G564" s="123" t="str">
        <f t="shared" si="34"/>
        <v>#VALUE!</v>
      </c>
      <c r="H564" s="81">
        <v>12.0</v>
      </c>
      <c r="I564" s="63">
        <f t="shared" si="33"/>
        <v>24</v>
      </c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19" t="s">
        <v>1050</v>
      </c>
      <c r="B565" s="120">
        <v>1.0</v>
      </c>
      <c r="C565" s="122" t="s">
        <v>1232</v>
      </c>
      <c r="D565" s="58">
        <v>0.0</v>
      </c>
      <c r="E565" s="59">
        <f t="shared" si="31"/>
        <v>1</v>
      </c>
      <c r="F565" s="60">
        <v>0.3</v>
      </c>
      <c r="G565" s="123" t="str">
        <f t="shared" si="34"/>
        <v>#VALUE!</v>
      </c>
      <c r="H565" s="81">
        <v>12.0</v>
      </c>
      <c r="I565" s="63">
        <f t="shared" si="33"/>
        <v>12</v>
      </c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19" t="s">
        <v>1067</v>
      </c>
      <c r="B566" s="120">
        <v>4.0</v>
      </c>
      <c r="C566" s="122" t="s">
        <v>1232</v>
      </c>
      <c r="D566" s="58">
        <v>0.0</v>
      </c>
      <c r="E566" s="59">
        <f t="shared" si="31"/>
        <v>4</v>
      </c>
      <c r="F566" s="60">
        <v>0.3</v>
      </c>
      <c r="G566" s="123" t="str">
        <f t="shared" si="34"/>
        <v>#VALUE!</v>
      </c>
      <c r="H566" s="81">
        <v>12.0</v>
      </c>
      <c r="I566" s="63">
        <f t="shared" si="33"/>
        <v>48</v>
      </c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19" t="s">
        <v>1053</v>
      </c>
      <c r="B567" s="120">
        <v>1.0</v>
      </c>
      <c r="C567" s="122" t="s">
        <v>1232</v>
      </c>
      <c r="D567" s="58">
        <v>0.0</v>
      </c>
      <c r="E567" s="59">
        <f t="shared" si="31"/>
        <v>1</v>
      </c>
      <c r="F567" s="60">
        <v>0.3</v>
      </c>
      <c r="G567" s="123" t="str">
        <f t="shared" si="34"/>
        <v>#VALUE!</v>
      </c>
      <c r="H567" s="81">
        <v>12.0</v>
      </c>
      <c r="I567" s="63">
        <f t="shared" si="33"/>
        <v>12</v>
      </c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19" t="s">
        <v>1055</v>
      </c>
      <c r="B568" s="120">
        <v>3.0</v>
      </c>
      <c r="C568" s="122" t="s">
        <v>1232</v>
      </c>
      <c r="D568" s="58">
        <v>0.0</v>
      </c>
      <c r="E568" s="59">
        <f t="shared" si="31"/>
        <v>3</v>
      </c>
      <c r="F568" s="60">
        <v>0.3</v>
      </c>
      <c r="G568" s="123" t="str">
        <f t="shared" si="34"/>
        <v>#VALUE!</v>
      </c>
      <c r="H568" s="81">
        <v>12.0</v>
      </c>
      <c r="I568" s="63">
        <f t="shared" si="33"/>
        <v>36</v>
      </c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19" t="s">
        <v>1057</v>
      </c>
      <c r="B569" s="120">
        <v>1.0</v>
      </c>
      <c r="C569" s="122" t="s">
        <v>1232</v>
      </c>
      <c r="D569" s="58">
        <v>0.0</v>
      </c>
      <c r="E569" s="59">
        <f t="shared" si="31"/>
        <v>1</v>
      </c>
      <c r="F569" s="60">
        <v>0.3</v>
      </c>
      <c r="G569" s="123" t="str">
        <f t="shared" si="34"/>
        <v>#VALUE!</v>
      </c>
      <c r="H569" s="81">
        <v>12.0</v>
      </c>
      <c r="I569" s="63">
        <f t="shared" si="33"/>
        <v>12</v>
      </c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19" t="s">
        <v>1252</v>
      </c>
      <c r="B570" s="120">
        <v>1.0</v>
      </c>
      <c r="C570" s="122" t="s">
        <v>1232</v>
      </c>
      <c r="D570" s="58">
        <v>0.0</v>
      </c>
      <c r="E570" s="59">
        <f t="shared" si="31"/>
        <v>1</v>
      </c>
      <c r="F570" s="60">
        <v>0.3</v>
      </c>
      <c r="G570" s="123" t="str">
        <f t="shared" si="34"/>
        <v>#VALUE!</v>
      </c>
      <c r="H570" s="81">
        <v>12.0</v>
      </c>
      <c r="I570" s="63">
        <f t="shared" si="33"/>
        <v>12</v>
      </c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19" t="s">
        <v>1075</v>
      </c>
      <c r="B571" s="120">
        <v>2.0</v>
      </c>
      <c r="C571" s="122" t="s">
        <v>1232</v>
      </c>
      <c r="D571" s="58">
        <v>0.0</v>
      </c>
      <c r="E571" s="59">
        <f t="shared" si="31"/>
        <v>2</v>
      </c>
      <c r="F571" s="60">
        <v>0.3</v>
      </c>
      <c r="G571" s="123" t="str">
        <f t="shared" si="34"/>
        <v>#VALUE!</v>
      </c>
      <c r="H571" s="81">
        <v>15.0</v>
      </c>
      <c r="I571" s="63">
        <f t="shared" si="33"/>
        <v>30</v>
      </c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19" t="s">
        <v>1076</v>
      </c>
      <c r="B572" s="120">
        <v>2.0</v>
      </c>
      <c r="C572" s="122" t="s">
        <v>1232</v>
      </c>
      <c r="D572" s="58">
        <v>0.0</v>
      </c>
      <c r="E572" s="59">
        <f t="shared" si="31"/>
        <v>2</v>
      </c>
      <c r="F572" s="60">
        <v>0.3</v>
      </c>
      <c r="G572" s="123" t="str">
        <f t="shared" si="34"/>
        <v>#VALUE!</v>
      </c>
      <c r="H572" s="81">
        <v>15.0</v>
      </c>
      <c r="I572" s="63">
        <f t="shared" si="33"/>
        <v>30</v>
      </c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19" t="s">
        <v>1077</v>
      </c>
      <c r="B573" s="120">
        <v>3.0</v>
      </c>
      <c r="C573" s="122" t="s">
        <v>1232</v>
      </c>
      <c r="D573" s="58">
        <v>0.0</v>
      </c>
      <c r="E573" s="59">
        <f t="shared" si="31"/>
        <v>3</v>
      </c>
      <c r="F573" s="60">
        <v>0.3</v>
      </c>
      <c r="G573" s="123" t="str">
        <f t="shared" si="34"/>
        <v>#VALUE!</v>
      </c>
      <c r="H573" s="81">
        <v>12.0</v>
      </c>
      <c r="I573" s="63">
        <f t="shared" si="33"/>
        <v>36</v>
      </c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19" t="s">
        <v>1079</v>
      </c>
      <c r="B574" s="120">
        <v>5.0</v>
      </c>
      <c r="C574" s="122" t="s">
        <v>1232</v>
      </c>
      <c r="D574" s="58">
        <v>0.0</v>
      </c>
      <c r="E574" s="59">
        <f t="shared" si="31"/>
        <v>5</v>
      </c>
      <c r="F574" s="60">
        <v>0.3</v>
      </c>
      <c r="G574" s="123" t="str">
        <f t="shared" si="34"/>
        <v>#VALUE!</v>
      </c>
      <c r="H574" s="81">
        <v>12.0</v>
      </c>
      <c r="I574" s="63">
        <f t="shared" si="33"/>
        <v>60</v>
      </c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19" t="s">
        <v>1080</v>
      </c>
      <c r="B575" s="120">
        <v>1.0</v>
      </c>
      <c r="C575" s="122" t="s">
        <v>1232</v>
      </c>
      <c r="D575" s="58">
        <v>0.0</v>
      </c>
      <c r="E575" s="59">
        <f t="shared" si="31"/>
        <v>1</v>
      </c>
      <c r="F575" s="60">
        <v>0.3</v>
      </c>
      <c r="G575" s="123" t="str">
        <f t="shared" si="34"/>
        <v>#VALUE!</v>
      </c>
      <c r="H575" s="81">
        <v>12.0</v>
      </c>
      <c r="I575" s="63">
        <f t="shared" si="33"/>
        <v>12</v>
      </c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19" t="s">
        <v>1081</v>
      </c>
      <c r="B576" s="120">
        <v>5.0</v>
      </c>
      <c r="C576" s="122" t="s">
        <v>1232</v>
      </c>
      <c r="D576" s="58">
        <v>0.0</v>
      </c>
      <c r="E576" s="59">
        <f t="shared" si="31"/>
        <v>5</v>
      </c>
      <c r="F576" s="60">
        <v>0.3</v>
      </c>
      <c r="G576" s="123" t="str">
        <f t="shared" si="34"/>
        <v>#VALUE!</v>
      </c>
      <c r="H576" s="81">
        <v>12.0</v>
      </c>
      <c r="I576" s="63">
        <f t="shared" si="33"/>
        <v>60</v>
      </c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19" t="s">
        <v>1083</v>
      </c>
      <c r="B577" s="120">
        <v>1.0</v>
      </c>
      <c r="C577" s="122" t="s">
        <v>1232</v>
      </c>
      <c r="D577" s="58">
        <v>0.0</v>
      </c>
      <c r="E577" s="59">
        <f t="shared" si="31"/>
        <v>1</v>
      </c>
      <c r="F577" s="60">
        <v>0.3</v>
      </c>
      <c r="G577" s="123" t="str">
        <f t="shared" si="34"/>
        <v>#VALUE!</v>
      </c>
      <c r="H577" s="81">
        <v>12.0</v>
      </c>
      <c r="I577" s="63">
        <f t="shared" si="33"/>
        <v>12</v>
      </c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19" t="s">
        <v>1086</v>
      </c>
      <c r="B578" s="120">
        <v>1.0</v>
      </c>
      <c r="C578" s="122" t="s">
        <v>1232</v>
      </c>
      <c r="D578" s="58">
        <v>0.0</v>
      </c>
      <c r="E578" s="59">
        <f t="shared" si="31"/>
        <v>1</v>
      </c>
      <c r="F578" s="60">
        <v>0.3</v>
      </c>
      <c r="G578" s="123" t="str">
        <f t="shared" si="34"/>
        <v>#VALUE!</v>
      </c>
      <c r="H578" s="81">
        <v>12.0</v>
      </c>
      <c r="I578" s="63">
        <f t="shared" si="33"/>
        <v>12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19" t="s">
        <v>1087</v>
      </c>
      <c r="B579" s="120">
        <v>1.0</v>
      </c>
      <c r="C579" s="122" t="s">
        <v>1232</v>
      </c>
      <c r="D579" s="58">
        <v>0.0</v>
      </c>
      <c r="E579" s="59">
        <f t="shared" si="31"/>
        <v>1</v>
      </c>
      <c r="F579" s="60">
        <v>0.3</v>
      </c>
      <c r="G579" s="123" t="str">
        <f t="shared" si="34"/>
        <v>#VALUE!</v>
      </c>
      <c r="H579" s="81">
        <v>12.0</v>
      </c>
      <c r="I579" s="63">
        <f t="shared" si="33"/>
        <v>12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19" t="s">
        <v>1088</v>
      </c>
      <c r="B580" s="120">
        <v>2.0</v>
      </c>
      <c r="C580" s="122" t="s">
        <v>1232</v>
      </c>
      <c r="D580" s="58">
        <v>0.0</v>
      </c>
      <c r="E580" s="59">
        <f t="shared" si="31"/>
        <v>2</v>
      </c>
      <c r="F580" s="60">
        <v>0.3</v>
      </c>
      <c r="G580" s="123" t="str">
        <f t="shared" si="34"/>
        <v>#VALUE!</v>
      </c>
      <c r="H580" s="81">
        <v>12.0</v>
      </c>
      <c r="I580" s="63">
        <f t="shared" si="33"/>
        <v>24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19" t="s">
        <v>1089</v>
      </c>
      <c r="B581" s="120">
        <v>1.0</v>
      </c>
      <c r="C581" s="122" t="s">
        <v>1232</v>
      </c>
      <c r="D581" s="58">
        <v>0.0</v>
      </c>
      <c r="E581" s="59">
        <f t="shared" si="31"/>
        <v>1</v>
      </c>
      <c r="F581" s="60">
        <v>0.3</v>
      </c>
      <c r="G581" s="123" t="str">
        <f t="shared" si="34"/>
        <v>#VALUE!</v>
      </c>
      <c r="H581" s="81">
        <v>12.0</v>
      </c>
      <c r="I581" s="63">
        <f t="shared" si="33"/>
        <v>12</v>
      </c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19" t="s">
        <v>1090</v>
      </c>
      <c r="B582" s="120">
        <v>2.0</v>
      </c>
      <c r="C582" s="122" t="s">
        <v>1232</v>
      </c>
      <c r="D582" s="58">
        <v>0.0</v>
      </c>
      <c r="E582" s="59">
        <f t="shared" si="31"/>
        <v>2</v>
      </c>
      <c r="F582" s="60">
        <v>0.3</v>
      </c>
      <c r="G582" s="123" t="str">
        <f t="shared" si="34"/>
        <v>#VALUE!</v>
      </c>
      <c r="H582" s="81">
        <v>12.0</v>
      </c>
      <c r="I582" s="63">
        <f t="shared" si="33"/>
        <v>24</v>
      </c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19" t="s">
        <v>1091</v>
      </c>
      <c r="B583" s="120">
        <v>2.0</v>
      </c>
      <c r="C583" s="122" t="s">
        <v>1232</v>
      </c>
      <c r="D583" s="58">
        <v>0.0</v>
      </c>
      <c r="E583" s="59">
        <f t="shared" si="31"/>
        <v>2</v>
      </c>
      <c r="F583" s="60">
        <v>0.3</v>
      </c>
      <c r="G583" s="123" t="str">
        <f t="shared" si="34"/>
        <v>#VALUE!</v>
      </c>
      <c r="H583" s="81">
        <v>12.0</v>
      </c>
      <c r="I583" s="63">
        <f t="shared" si="33"/>
        <v>24</v>
      </c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19" t="s">
        <v>1253</v>
      </c>
      <c r="B584" s="120">
        <v>2.0</v>
      </c>
      <c r="C584" s="122" t="s">
        <v>1232</v>
      </c>
      <c r="D584" s="58">
        <v>0.0</v>
      </c>
      <c r="E584" s="59">
        <f t="shared" si="31"/>
        <v>2</v>
      </c>
      <c r="F584" s="60">
        <v>0.3</v>
      </c>
      <c r="G584" s="123" t="str">
        <f t="shared" si="34"/>
        <v>#VALUE!</v>
      </c>
      <c r="H584" s="81">
        <v>12.0</v>
      </c>
      <c r="I584" s="63">
        <f t="shared" si="33"/>
        <v>24</v>
      </c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19" t="s">
        <v>1094</v>
      </c>
      <c r="B585" s="120">
        <v>7.0</v>
      </c>
      <c r="C585" s="122" t="s">
        <v>1232</v>
      </c>
      <c r="D585" s="58">
        <v>0.0</v>
      </c>
      <c r="E585" s="59">
        <f t="shared" si="31"/>
        <v>7</v>
      </c>
      <c r="F585" s="60">
        <v>0.3</v>
      </c>
      <c r="G585" s="123" t="str">
        <f t="shared" si="34"/>
        <v>#VALUE!</v>
      </c>
      <c r="H585" s="81">
        <v>12.0</v>
      </c>
      <c r="I585" s="63">
        <f t="shared" si="33"/>
        <v>84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19" t="s">
        <v>1095</v>
      </c>
      <c r="B586" s="120">
        <v>1.0</v>
      </c>
      <c r="C586" s="122" t="s">
        <v>1232</v>
      </c>
      <c r="D586" s="58">
        <v>0.0</v>
      </c>
      <c r="E586" s="59">
        <f t="shared" si="31"/>
        <v>1</v>
      </c>
      <c r="F586" s="60">
        <v>0.3</v>
      </c>
      <c r="G586" s="123" t="str">
        <f t="shared" si="34"/>
        <v>#VALUE!</v>
      </c>
      <c r="H586" s="81">
        <v>12.0</v>
      </c>
      <c r="I586" s="63">
        <f t="shared" si="33"/>
        <v>12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19" t="s">
        <v>1096</v>
      </c>
      <c r="B587" s="120">
        <v>1.0</v>
      </c>
      <c r="C587" s="122" t="s">
        <v>1232</v>
      </c>
      <c r="D587" s="58">
        <v>0.0</v>
      </c>
      <c r="E587" s="59">
        <f t="shared" si="31"/>
        <v>1</v>
      </c>
      <c r="F587" s="60">
        <v>0.3</v>
      </c>
      <c r="G587" s="123" t="str">
        <f t="shared" si="34"/>
        <v>#VALUE!</v>
      </c>
      <c r="H587" s="81">
        <v>12.0</v>
      </c>
      <c r="I587" s="63">
        <f t="shared" si="33"/>
        <v>12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19" t="s">
        <v>1097</v>
      </c>
      <c r="B588" s="120">
        <v>1.0</v>
      </c>
      <c r="C588" s="122" t="s">
        <v>1232</v>
      </c>
      <c r="D588" s="58">
        <v>0.0</v>
      </c>
      <c r="E588" s="59">
        <f t="shared" si="31"/>
        <v>1</v>
      </c>
      <c r="F588" s="60">
        <v>0.3</v>
      </c>
      <c r="G588" s="123" t="str">
        <f t="shared" si="34"/>
        <v>#VALUE!</v>
      </c>
      <c r="H588" s="81">
        <v>15.0</v>
      </c>
      <c r="I588" s="63">
        <f t="shared" si="33"/>
        <v>15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19" t="s">
        <v>1098</v>
      </c>
      <c r="B589" s="120">
        <v>1.0</v>
      </c>
      <c r="C589" s="122" t="s">
        <v>1232</v>
      </c>
      <c r="D589" s="58">
        <v>0.0</v>
      </c>
      <c r="E589" s="59">
        <f t="shared" si="31"/>
        <v>1</v>
      </c>
      <c r="F589" s="60">
        <v>0.3</v>
      </c>
      <c r="G589" s="123" t="str">
        <f t="shared" si="34"/>
        <v>#VALUE!</v>
      </c>
      <c r="H589" s="81">
        <v>12.0</v>
      </c>
      <c r="I589" s="63">
        <f t="shared" si="33"/>
        <v>12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19" t="s">
        <v>1099</v>
      </c>
      <c r="B590" s="120">
        <v>3.0</v>
      </c>
      <c r="C590" s="122" t="s">
        <v>1232</v>
      </c>
      <c r="D590" s="58">
        <v>0.0</v>
      </c>
      <c r="E590" s="59">
        <f t="shared" si="31"/>
        <v>3</v>
      </c>
      <c r="F590" s="60">
        <v>0.3</v>
      </c>
      <c r="G590" s="123" t="str">
        <f t="shared" si="34"/>
        <v>#VALUE!</v>
      </c>
      <c r="H590" s="81">
        <v>12.0</v>
      </c>
      <c r="I590" s="63">
        <f t="shared" si="33"/>
        <v>36</v>
      </c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19" t="s">
        <v>1101</v>
      </c>
      <c r="B591" s="120">
        <v>1.0</v>
      </c>
      <c r="C591" s="122" t="s">
        <v>1232</v>
      </c>
      <c r="D591" s="58">
        <v>0.0</v>
      </c>
      <c r="E591" s="59">
        <f t="shared" si="31"/>
        <v>1</v>
      </c>
      <c r="F591" s="60">
        <v>0.3</v>
      </c>
      <c r="G591" s="123" t="str">
        <f t="shared" si="34"/>
        <v>#VALUE!</v>
      </c>
      <c r="H591" s="81">
        <v>12.0</v>
      </c>
      <c r="I591" s="63">
        <f t="shared" si="33"/>
        <v>12</v>
      </c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19" t="s">
        <v>1102</v>
      </c>
      <c r="B592" s="120">
        <v>1.0</v>
      </c>
      <c r="C592" s="122" t="s">
        <v>1232</v>
      </c>
      <c r="D592" s="58">
        <v>0.0</v>
      </c>
      <c r="E592" s="59">
        <f t="shared" si="31"/>
        <v>1</v>
      </c>
      <c r="F592" s="60">
        <v>0.3</v>
      </c>
      <c r="G592" s="123" t="str">
        <f t="shared" si="34"/>
        <v>#VALUE!</v>
      </c>
      <c r="H592" s="81">
        <v>15.0</v>
      </c>
      <c r="I592" s="63">
        <f t="shared" si="33"/>
        <v>15</v>
      </c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19" t="s">
        <v>1103</v>
      </c>
      <c r="B593" s="120">
        <v>3.0</v>
      </c>
      <c r="C593" s="122" t="s">
        <v>1232</v>
      </c>
      <c r="D593" s="58">
        <v>0.0</v>
      </c>
      <c r="E593" s="59">
        <f t="shared" si="31"/>
        <v>3</v>
      </c>
      <c r="F593" s="60">
        <v>0.3</v>
      </c>
      <c r="G593" s="123" t="str">
        <f t="shared" si="34"/>
        <v>#VALUE!</v>
      </c>
      <c r="H593" s="81">
        <v>12.0</v>
      </c>
      <c r="I593" s="63">
        <f t="shared" si="33"/>
        <v>36</v>
      </c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19" t="s">
        <v>1105</v>
      </c>
      <c r="B594" s="120">
        <v>2.0</v>
      </c>
      <c r="C594" s="122" t="s">
        <v>1232</v>
      </c>
      <c r="D594" s="58">
        <v>0.0</v>
      </c>
      <c r="E594" s="59">
        <f t="shared" si="31"/>
        <v>2</v>
      </c>
      <c r="F594" s="60">
        <v>0.3</v>
      </c>
      <c r="G594" s="123" t="str">
        <f t="shared" si="34"/>
        <v>#VALUE!</v>
      </c>
      <c r="H594" s="81">
        <v>12.0</v>
      </c>
      <c r="I594" s="63">
        <f t="shared" si="33"/>
        <v>24</v>
      </c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19" t="s">
        <v>1106</v>
      </c>
      <c r="B595" s="120">
        <v>2.0</v>
      </c>
      <c r="C595" s="122" t="s">
        <v>1232</v>
      </c>
      <c r="D595" s="58">
        <v>0.0</v>
      </c>
      <c r="E595" s="59">
        <f t="shared" si="31"/>
        <v>2</v>
      </c>
      <c r="F595" s="60">
        <v>0.3</v>
      </c>
      <c r="G595" s="123" t="str">
        <f t="shared" si="34"/>
        <v>#VALUE!</v>
      </c>
      <c r="H595" s="81">
        <v>15.0</v>
      </c>
      <c r="I595" s="63">
        <f t="shared" si="33"/>
        <v>30</v>
      </c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25"/>
      <c r="B596" s="19">
        <f>SUM(B327:B595)</f>
        <v>312</v>
      </c>
      <c r="C596" s="122" t="s">
        <v>1232</v>
      </c>
      <c r="D596" s="68"/>
      <c r="E596" s="126"/>
      <c r="F596" s="112"/>
      <c r="G596" s="113"/>
      <c r="H596" s="121"/>
      <c r="I596" s="50">
        <f>SUM(I327:I595)</f>
        <v>3691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25"/>
      <c r="B597" s="69"/>
      <c r="C597" s="122" t="s">
        <v>1232</v>
      </c>
      <c r="D597" s="68"/>
      <c r="E597" s="126"/>
      <c r="F597" s="112"/>
      <c r="G597" s="113"/>
      <c r="H597" s="121"/>
      <c r="I597" s="127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02"/>
      <c r="B598" s="69"/>
      <c r="C598" s="122" t="s">
        <v>1232</v>
      </c>
      <c r="D598" s="58">
        <v>0.0</v>
      </c>
      <c r="E598" s="59">
        <f t="shared" ref="E598:E605" si="35">+B598-D598</f>
        <v>0</v>
      </c>
      <c r="F598" s="60">
        <v>0.3</v>
      </c>
      <c r="G598" s="123" t="str">
        <f t="shared" ref="G598:G605" si="36">C598+(C598*F598)</f>
        <v>#VALUE!</v>
      </c>
      <c r="H598" s="81">
        <v>12.0</v>
      </c>
      <c r="I598" s="63">
        <f t="shared" ref="I598:I605" si="37">+E598*H598</f>
        <v>0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02"/>
      <c r="B599" s="69"/>
      <c r="C599" s="122" t="s">
        <v>1232</v>
      </c>
      <c r="D599" s="58">
        <v>0.0</v>
      </c>
      <c r="E599" s="59">
        <f t="shared" si="35"/>
        <v>0</v>
      </c>
      <c r="F599" s="60">
        <v>0.3</v>
      </c>
      <c r="G599" s="123" t="str">
        <f t="shared" si="36"/>
        <v>#VALUE!</v>
      </c>
      <c r="H599" s="81">
        <v>12.0</v>
      </c>
      <c r="I599" s="63">
        <f t="shared" si="37"/>
        <v>0</v>
      </c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28"/>
      <c r="B600" s="69"/>
      <c r="C600" s="122" t="s">
        <v>1232</v>
      </c>
      <c r="D600" s="58">
        <v>0.0</v>
      </c>
      <c r="E600" s="59">
        <f t="shared" si="35"/>
        <v>0</v>
      </c>
      <c r="F600" s="60">
        <v>0.3</v>
      </c>
      <c r="G600" s="123" t="str">
        <f t="shared" si="36"/>
        <v>#VALUE!</v>
      </c>
      <c r="H600" s="81">
        <v>12.0</v>
      </c>
      <c r="I600" s="63">
        <f t="shared" si="37"/>
        <v>0</v>
      </c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29" t="s">
        <v>1254</v>
      </c>
      <c r="B601" s="69"/>
      <c r="C601" s="122" t="s">
        <v>1232</v>
      </c>
      <c r="D601" s="58">
        <v>0.0</v>
      </c>
      <c r="E601" s="59">
        <f t="shared" si="35"/>
        <v>0</v>
      </c>
      <c r="F601" s="60">
        <v>0.3</v>
      </c>
      <c r="G601" s="123" t="str">
        <f t="shared" si="36"/>
        <v>#VALUE!</v>
      </c>
      <c r="H601" s="81">
        <v>12.0</v>
      </c>
      <c r="I601" s="63">
        <f t="shared" si="37"/>
        <v>0</v>
      </c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56" t="s">
        <v>196</v>
      </c>
      <c r="B602" s="69"/>
      <c r="C602" s="122" t="s">
        <v>1232</v>
      </c>
      <c r="D602" s="58">
        <v>0.0</v>
      </c>
      <c r="E602" s="59">
        <f t="shared" si="35"/>
        <v>0</v>
      </c>
      <c r="F602" s="60">
        <v>0.3</v>
      </c>
      <c r="G602" s="123" t="str">
        <f t="shared" si="36"/>
        <v>#VALUE!</v>
      </c>
      <c r="H602" s="81">
        <v>12.0</v>
      </c>
      <c r="I602" s="63">
        <f t="shared" si="37"/>
        <v>0</v>
      </c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56" t="s">
        <v>211</v>
      </c>
      <c r="B603" s="69"/>
      <c r="C603" s="122" t="s">
        <v>1232</v>
      </c>
      <c r="D603" s="58">
        <v>0.0</v>
      </c>
      <c r="E603" s="59">
        <f t="shared" si="35"/>
        <v>0</v>
      </c>
      <c r="F603" s="60">
        <v>0.3</v>
      </c>
      <c r="G603" s="123" t="str">
        <f t="shared" si="36"/>
        <v>#VALUE!</v>
      </c>
      <c r="H603" s="81">
        <v>12.0</v>
      </c>
      <c r="I603" s="63">
        <f t="shared" si="37"/>
        <v>0</v>
      </c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56" t="s">
        <v>214</v>
      </c>
      <c r="B604" s="69"/>
      <c r="C604" s="122" t="s">
        <v>1232</v>
      </c>
      <c r="D604" s="58">
        <v>0.0</v>
      </c>
      <c r="E604" s="59">
        <f t="shared" si="35"/>
        <v>0</v>
      </c>
      <c r="F604" s="60">
        <v>0.3</v>
      </c>
      <c r="G604" s="123" t="str">
        <f t="shared" si="36"/>
        <v>#VALUE!</v>
      </c>
      <c r="H604" s="81">
        <v>12.0</v>
      </c>
      <c r="I604" s="63">
        <f t="shared" si="37"/>
        <v>0</v>
      </c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56" t="s">
        <v>167</v>
      </c>
      <c r="B605" s="69"/>
      <c r="C605" s="122" t="s">
        <v>1232</v>
      </c>
      <c r="D605" s="58">
        <v>0.0</v>
      </c>
      <c r="E605" s="59">
        <f t="shared" si="35"/>
        <v>0</v>
      </c>
      <c r="F605" s="60">
        <v>0.3</v>
      </c>
      <c r="G605" s="123" t="str">
        <f t="shared" si="36"/>
        <v>#VALUE!</v>
      </c>
      <c r="H605" s="81">
        <v>12.0</v>
      </c>
      <c r="I605" s="63">
        <f t="shared" si="37"/>
        <v>0</v>
      </c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56" t="s">
        <v>169</v>
      </c>
      <c r="B606" s="69"/>
      <c r="C606" s="122" t="s">
        <v>1232</v>
      </c>
      <c r="D606" s="68"/>
      <c r="E606" s="126"/>
      <c r="F606" s="112"/>
      <c r="G606" s="113"/>
      <c r="H606" s="121"/>
      <c r="I606" s="127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56" t="s">
        <v>266</v>
      </c>
      <c r="B607" s="69"/>
      <c r="C607" s="122" t="s">
        <v>1232</v>
      </c>
      <c r="D607" s="58">
        <v>0.0</v>
      </c>
      <c r="E607" s="59">
        <f t="shared" ref="E607:E608" si="38">+B607-D607</f>
        <v>0</v>
      </c>
      <c r="F607" s="60">
        <v>0.3</v>
      </c>
      <c r="G607" s="123" t="str">
        <f t="shared" ref="G607:G608" si="39">C607+(C607*F607)</f>
        <v>#VALUE!</v>
      </c>
      <c r="H607" s="81">
        <v>11.0</v>
      </c>
      <c r="I607" s="63">
        <f t="shared" ref="I607:I608" si="40">+E607*H607</f>
        <v>0</v>
      </c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56" t="s">
        <v>268</v>
      </c>
      <c r="B608" s="69"/>
      <c r="C608" s="122" t="s">
        <v>1232</v>
      </c>
      <c r="D608" s="58">
        <v>0.0</v>
      </c>
      <c r="E608" s="59">
        <f t="shared" si="38"/>
        <v>0</v>
      </c>
      <c r="F608" s="60">
        <v>0.3</v>
      </c>
      <c r="G608" s="123" t="str">
        <f t="shared" si="39"/>
        <v>#VALUE!</v>
      </c>
      <c r="H608" s="81">
        <v>11.0</v>
      </c>
      <c r="I608" s="63">
        <f t="shared" si="40"/>
        <v>0</v>
      </c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56" t="s">
        <v>937</v>
      </c>
      <c r="B609" s="69"/>
      <c r="C609" s="122" t="s">
        <v>1232</v>
      </c>
      <c r="D609" s="68"/>
      <c r="E609" s="126"/>
      <c r="F609" s="112"/>
      <c r="G609" s="113"/>
      <c r="H609" s="121"/>
      <c r="I609" s="127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56" t="s">
        <v>258</v>
      </c>
      <c r="B610" s="69"/>
      <c r="C610" s="122" t="s">
        <v>1232</v>
      </c>
      <c r="D610" s="68"/>
      <c r="E610" s="126"/>
      <c r="F610" s="112"/>
      <c r="G610" s="113"/>
      <c r="H610" s="121"/>
      <c r="I610" s="127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56" t="s">
        <v>181</v>
      </c>
      <c r="B611" s="69"/>
      <c r="C611" s="122" t="s">
        <v>1232</v>
      </c>
      <c r="D611" s="68"/>
      <c r="E611" s="126"/>
      <c r="F611" s="112"/>
      <c r="G611" s="113"/>
      <c r="H611" s="121"/>
      <c r="I611" s="127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56" t="s">
        <v>183</v>
      </c>
      <c r="B612" s="69"/>
      <c r="C612" s="122" t="s">
        <v>1232</v>
      </c>
      <c r="D612" s="68"/>
      <c r="E612" s="126"/>
      <c r="F612" s="112"/>
      <c r="G612" s="113"/>
      <c r="H612" s="121"/>
      <c r="I612" s="127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56" t="s">
        <v>186</v>
      </c>
      <c r="B613" s="69"/>
      <c r="C613" s="122" t="s">
        <v>1232</v>
      </c>
      <c r="D613" s="68"/>
      <c r="E613" s="126"/>
      <c r="F613" s="112"/>
      <c r="G613" s="113"/>
      <c r="H613" s="121"/>
      <c r="I613" s="127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56" t="s">
        <v>338</v>
      </c>
      <c r="B614" s="19">
        <v>1.0</v>
      </c>
      <c r="C614" s="122" t="s">
        <v>1232</v>
      </c>
      <c r="D614" s="58">
        <v>0.0</v>
      </c>
      <c r="E614" s="59">
        <f t="shared" ref="E614:E620" si="41">+B614-D614</f>
        <v>1</v>
      </c>
      <c r="F614" s="60">
        <v>0.4</v>
      </c>
      <c r="G614" s="123" t="str">
        <f t="shared" ref="G614:G620" si="42">C614+(C614*F614)</f>
        <v>#VALUE!</v>
      </c>
      <c r="H614" s="81">
        <v>14.0</v>
      </c>
      <c r="I614" s="63">
        <f t="shared" ref="I614:I620" si="43">+E614*H614</f>
        <v>14</v>
      </c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56" t="s">
        <v>341</v>
      </c>
      <c r="B615" s="19">
        <v>0.0</v>
      </c>
      <c r="C615" s="122" t="s">
        <v>1232</v>
      </c>
      <c r="D615" s="58">
        <v>0.0</v>
      </c>
      <c r="E615" s="59">
        <f t="shared" si="41"/>
        <v>0</v>
      </c>
      <c r="F615" s="60">
        <v>0.4</v>
      </c>
      <c r="G615" s="123" t="str">
        <f t="shared" si="42"/>
        <v>#VALUE!</v>
      </c>
      <c r="H615" s="81">
        <v>20.0</v>
      </c>
      <c r="I615" s="63">
        <f t="shared" si="43"/>
        <v>0</v>
      </c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25"/>
      <c r="B616" s="19">
        <v>0.0</v>
      </c>
      <c r="C616" s="122" t="s">
        <v>1232</v>
      </c>
      <c r="D616" s="58">
        <v>0.0</v>
      </c>
      <c r="E616" s="59">
        <f t="shared" si="41"/>
        <v>0</v>
      </c>
      <c r="F616" s="60">
        <v>0.4</v>
      </c>
      <c r="G616" s="123" t="str">
        <f t="shared" si="42"/>
        <v>#VALUE!</v>
      </c>
      <c r="H616" s="81">
        <v>20.0</v>
      </c>
      <c r="I616" s="63">
        <f t="shared" si="43"/>
        <v>0</v>
      </c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29" t="s">
        <v>1255</v>
      </c>
      <c r="B617" s="19">
        <v>10.0</v>
      </c>
      <c r="C617" s="122" t="s">
        <v>1232</v>
      </c>
      <c r="D617" s="58">
        <v>0.0</v>
      </c>
      <c r="E617" s="59">
        <f t="shared" si="41"/>
        <v>10</v>
      </c>
      <c r="F617" s="60">
        <v>0.8</v>
      </c>
      <c r="G617" s="123" t="str">
        <f t="shared" si="42"/>
        <v>#VALUE!</v>
      </c>
      <c r="H617" s="81">
        <v>15.0</v>
      </c>
      <c r="I617" s="63">
        <f t="shared" si="43"/>
        <v>150</v>
      </c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25"/>
      <c r="B618" s="19">
        <v>6.0</v>
      </c>
      <c r="C618" s="122" t="s">
        <v>1232</v>
      </c>
      <c r="D618" s="58">
        <v>0.0</v>
      </c>
      <c r="E618" s="59">
        <f t="shared" si="41"/>
        <v>6</v>
      </c>
      <c r="F618" s="60">
        <v>0.4</v>
      </c>
      <c r="G618" s="123" t="str">
        <f t="shared" si="42"/>
        <v>#VALUE!</v>
      </c>
      <c r="H618" s="81">
        <v>25.0</v>
      </c>
      <c r="I618" s="63">
        <f t="shared" si="43"/>
        <v>150</v>
      </c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56" t="s">
        <v>196</v>
      </c>
      <c r="B619" s="19">
        <v>6.0</v>
      </c>
      <c r="C619" s="122" t="s">
        <v>1232</v>
      </c>
      <c r="D619" s="58">
        <v>0.0</v>
      </c>
      <c r="E619" s="59">
        <f t="shared" si="41"/>
        <v>6</v>
      </c>
      <c r="F619" s="60">
        <v>0.4</v>
      </c>
      <c r="G619" s="123" t="str">
        <f t="shared" si="42"/>
        <v>#VALUE!</v>
      </c>
      <c r="H619" s="81">
        <v>7.0</v>
      </c>
      <c r="I619" s="63">
        <f t="shared" si="43"/>
        <v>42</v>
      </c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56" t="s">
        <v>211</v>
      </c>
      <c r="B620" s="19">
        <v>6.0</v>
      </c>
      <c r="C620" s="122" t="s">
        <v>1232</v>
      </c>
      <c r="D620" s="58">
        <v>0.0</v>
      </c>
      <c r="E620" s="59">
        <f t="shared" si="41"/>
        <v>6</v>
      </c>
      <c r="F620" s="60">
        <v>0.4</v>
      </c>
      <c r="G620" s="123" t="str">
        <f t="shared" si="42"/>
        <v>#VALUE!</v>
      </c>
      <c r="H620" s="81">
        <v>7.0</v>
      </c>
      <c r="I620" s="63">
        <f t="shared" si="43"/>
        <v>42</v>
      </c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56" t="s">
        <v>216</v>
      </c>
      <c r="B621" s="52"/>
      <c r="C621" s="130" t="s">
        <v>1232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56" t="s">
        <v>214</v>
      </c>
      <c r="B622" s="52"/>
      <c r="C622" s="130" t="s">
        <v>1232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56" t="s">
        <v>169</v>
      </c>
      <c r="B623" s="131">
        <v>1.0</v>
      </c>
      <c r="C623" s="122" t="s">
        <v>1232</v>
      </c>
      <c r="D623" s="58">
        <v>0.0</v>
      </c>
      <c r="E623" s="59">
        <f t="shared" ref="E623:E635" si="44">+B623-D623</f>
        <v>1</v>
      </c>
      <c r="F623" s="60">
        <v>0.5</v>
      </c>
      <c r="G623" s="123" t="str">
        <f t="shared" ref="G623:G635" si="45">C623+(C623*F623)</f>
        <v>#VALUE!</v>
      </c>
      <c r="H623" s="81">
        <v>20.0</v>
      </c>
      <c r="I623" s="63">
        <f t="shared" ref="I623:I635" si="46">+E623*H623</f>
        <v>20</v>
      </c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56" t="s">
        <v>266</v>
      </c>
      <c r="B624" s="131">
        <v>1.0</v>
      </c>
      <c r="C624" s="122" t="s">
        <v>1232</v>
      </c>
      <c r="D624" s="58">
        <v>0.0</v>
      </c>
      <c r="E624" s="59">
        <f t="shared" si="44"/>
        <v>1</v>
      </c>
      <c r="F624" s="60">
        <v>0.5</v>
      </c>
      <c r="G624" s="123" t="str">
        <f t="shared" si="45"/>
        <v>#VALUE!</v>
      </c>
      <c r="H624" s="81">
        <v>20.0</v>
      </c>
      <c r="I624" s="63">
        <f t="shared" si="46"/>
        <v>20</v>
      </c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56" t="s">
        <v>268</v>
      </c>
      <c r="B625" s="131">
        <v>1.0</v>
      </c>
      <c r="C625" s="122" t="s">
        <v>1232</v>
      </c>
      <c r="D625" s="58">
        <v>0.0</v>
      </c>
      <c r="E625" s="59">
        <f t="shared" si="44"/>
        <v>1</v>
      </c>
      <c r="F625" s="60">
        <v>0.4</v>
      </c>
      <c r="G625" s="123" t="str">
        <f t="shared" si="45"/>
        <v>#VALUE!</v>
      </c>
      <c r="H625" s="81">
        <v>35.0</v>
      </c>
      <c r="I625" s="63">
        <f t="shared" si="46"/>
        <v>35</v>
      </c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56" t="s">
        <v>937</v>
      </c>
      <c r="B626" s="131">
        <v>1.0</v>
      </c>
      <c r="C626" s="122" t="s">
        <v>1232</v>
      </c>
      <c r="D626" s="58">
        <v>0.0</v>
      </c>
      <c r="E626" s="59">
        <f t="shared" si="44"/>
        <v>1</v>
      </c>
      <c r="F626" s="60">
        <v>0.4</v>
      </c>
      <c r="G626" s="123" t="str">
        <f t="shared" si="45"/>
        <v>#VALUE!</v>
      </c>
      <c r="H626" s="81">
        <v>45.0</v>
      </c>
      <c r="I626" s="63">
        <f t="shared" si="46"/>
        <v>45</v>
      </c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56" t="s">
        <v>258</v>
      </c>
      <c r="B627" s="131">
        <v>1.0</v>
      </c>
      <c r="C627" s="122" t="s">
        <v>1232</v>
      </c>
      <c r="D627" s="58">
        <v>0.0</v>
      </c>
      <c r="E627" s="59">
        <f t="shared" si="44"/>
        <v>1</v>
      </c>
      <c r="F627" s="60">
        <v>0.4</v>
      </c>
      <c r="G627" s="123" t="str">
        <f t="shared" si="45"/>
        <v>#VALUE!</v>
      </c>
      <c r="H627" s="81">
        <v>45.0</v>
      </c>
      <c r="I627" s="63">
        <f t="shared" si="46"/>
        <v>45</v>
      </c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56" t="s">
        <v>181</v>
      </c>
      <c r="B628" s="131">
        <v>1.0</v>
      </c>
      <c r="C628" s="122" t="s">
        <v>1232</v>
      </c>
      <c r="D628" s="58">
        <v>0.0</v>
      </c>
      <c r="E628" s="59">
        <f t="shared" si="44"/>
        <v>1</v>
      </c>
      <c r="F628" s="60">
        <v>0.4</v>
      </c>
      <c r="G628" s="123" t="str">
        <f t="shared" si="45"/>
        <v>#VALUE!</v>
      </c>
      <c r="H628" s="81">
        <v>35.0</v>
      </c>
      <c r="I628" s="63">
        <f t="shared" si="46"/>
        <v>35</v>
      </c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56" t="s">
        <v>183</v>
      </c>
      <c r="B629" s="131">
        <v>1.0</v>
      </c>
      <c r="C629" s="122" t="s">
        <v>1232</v>
      </c>
      <c r="D629" s="58">
        <v>0.0</v>
      </c>
      <c r="E629" s="59">
        <f t="shared" si="44"/>
        <v>1</v>
      </c>
      <c r="F629" s="60">
        <v>0.4</v>
      </c>
      <c r="G629" s="123" t="str">
        <f t="shared" si="45"/>
        <v>#VALUE!</v>
      </c>
      <c r="H629" s="81">
        <v>23.0</v>
      </c>
      <c r="I629" s="63">
        <f t="shared" si="46"/>
        <v>23</v>
      </c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56" t="s">
        <v>186</v>
      </c>
      <c r="B630" s="131">
        <v>1.0</v>
      </c>
      <c r="C630" s="122" t="s">
        <v>1232</v>
      </c>
      <c r="D630" s="58">
        <v>0.0</v>
      </c>
      <c r="E630" s="59">
        <f t="shared" si="44"/>
        <v>1</v>
      </c>
      <c r="F630" s="60">
        <v>0.4</v>
      </c>
      <c r="G630" s="123" t="str">
        <f t="shared" si="45"/>
        <v>#VALUE!</v>
      </c>
      <c r="H630" s="81">
        <v>20.0</v>
      </c>
      <c r="I630" s="63">
        <f t="shared" si="46"/>
        <v>20</v>
      </c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56" t="s">
        <v>338</v>
      </c>
      <c r="B631" s="131">
        <v>1.0</v>
      </c>
      <c r="C631" s="122" t="s">
        <v>1232</v>
      </c>
      <c r="D631" s="58">
        <v>0.0</v>
      </c>
      <c r="E631" s="59">
        <f t="shared" si="44"/>
        <v>1</v>
      </c>
      <c r="F631" s="60">
        <v>0.4</v>
      </c>
      <c r="G631" s="123" t="str">
        <f t="shared" si="45"/>
        <v>#VALUE!</v>
      </c>
      <c r="H631" s="81">
        <v>35.0</v>
      </c>
      <c r="I631" s="63">
        <f t="shared" si="46"/>
        <v>35</v>
      </c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56" t="s">
        <v>341</v>
      </c>
      <c r="B632" s="131">
        <v>1.0</v>
      </c>
      <c r="C632" s="122" t="s">
        <v>1232</v>
      </c>
      <c r="D632" s="58">
        <v>0.0</v>
      </c>
      <c r="E632" s="59">
        <f t="shared" si="44"/>
        <v>1</v>
      </c>
      <c r="F632" s="60">
        <v>0.4</v>
      </c>
      <c r="G632" s="123" t="str">
        <f t="shared" si="45"/>
        <v>#VALUE!</v>
      </c>
      <c r="H632" s="81">
        <v>10.0</v>
      </c>
      <c r="I632" s="63">
        <f t="shared" si="46"/>
        <v>10</v>
      </c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25"/>
      <c r="B633" s="131">
        <v>1.0</v>
      </c>
      <c r="C633" s="122" t="s">
        <v>1232</v>
      </c>
      <c r="D633" s="58">
        <v>0.0</v>
      </c>
      <c r="E633" s="59">
        <f t="shared" si="44"/>
        <v>1</v>
      </c>
      <c r="F633" s="60">
        <v>0.4</v>
      </c>
      <c r="G633" s="123" t="str">
        <f t="shared" si="45"/>
        <v>#VALUE!</v>
      </c>
      <c r="H633" s="81">
        <v>10.0</v>
      </c>
      <c r="I633" s="63">
        <f t="shared" si="46"/>
        <v>10</v>
      </c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25"/>
      <c r="B634" s="131">
        <v>1.0</v>
      </c>
      <c r="C634" s="122" t="s">
        <v>1232</v>
      </c>
      <c r="D634" s="58">
        <v>0.0</v>
      </c>
      <c r="E634" s="59">
        <f t="shared" si="44"/>
        <v>1</v>
      </c>
      <c r="F634" s="60">
        <v>0.4</v>
      </c>
      <c r="G634" s="123" t="str">
        <f t="shared" si="45"/>
        <v>#VALUE!</v>
      </c>
      <c r="H634" s="81">
        <v>10.0</v>
      </c>
      <c r="I634" s="63">
        <f t="shared" si="46"/>
        <v>10</v>
      </c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29" t="s">
        <v>1256</v>
      </c>
      <c r="B635" s="131">
        <v>1.0</v>
      </c>
      <c r="C635" s="122" t="s">
        <v>1232</v>
      </c>
      <c r="D635" s="58">
        <v>0.0</v>
      </c>
      <c r="E635" s="59">
        <f t="shared" si="44"/>
        <v>1</v>
      </c>
      <c r="F635" s="60">
        <v>0.4</v>
      </c>
      <c r="G635" s="123" t="str">
        <f t="shared" si="45"/>
        <v>#VALUE!</v>
      </c>
      <c r="H635" s="81">
        <v>10.0</v>
      </c>
      <c r="I635" s="63">
        <f t="shared" si="46"/>
        <v>10</v>
      </c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56" t="s">
        <v>269</v>
      </c>
      <c r="B636" s="52"/>
      <c r="C636" s="132" t="s">
        <v>1232</v>
      </c>
      <c r="D636" s="65"/>
      <c r="E636" s="133"/>
      <c r="F636" s="134"/>
      <c r="G636" s="135"/>
      <c r="H636" s="136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56" t="s">
        <v>270</v>
      </c>
      <c r="B637" s="131">
        <v>4.0</v>
      </c>
      <c r="C637" s="122" t="s">
        <v>1232</v>
      </c>
      <c r="D637" s="58">
        <v>0.0</v>
      </c>
      <c r="E637" s="59">
        <f t="shared" ref="E637:E658" si="47">+B637-D637</f>
        <v>4</v>
      </c>
      <c r="F637" s="60">
        <v>0.5</v>
      </c>
      <c r="G637" s="123" t="str">
        <f t="shared" ref="G637:G661" si="48">C637+(C637*F637)</f>
        <v>#VALUE!</v>
      </c>
      <c r="H637" s="81">
        <v>12.0</v>
      </c>
      <c r="I637" s="63">
        <f t="shared" ref="I637:I658" si="49">+E637*H637</f>
        <v>48</v>
      </c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56" t="s">
        <v>273</v>
      </c>
      <c r="B638" s="131">
        <v>3.0</v>
      </c>
      <c r="C638" s="122" t="s">
        <v>1232</v>
      </c>
      <c r="D638" s="58">
        <v>0.0</v>
      </c>
      <c r="E638" s="59">
        <f t="shared" si="47"/>
        <v>3</v>
      </c>
      <c r="F638" s="60">
        <v>0.5</v>
      </c>
      <c r="G638" s="123" t="str">
        <f t="shared" si="48"/>
        <v>#VALUE!</v>
      </c>
      <c r="H638" s="81">
        <v>12.0</v>
      </c>
      <c r="I638" s="63">
        <f t="shared" si="49"/>
        <v>36</v>
      </c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56" t="s">
        <v>275</v>
      </c>
      <c r="B639" s="131">
        <v>3.0</v>
      </c>
      <c r="C639" s="122" t="s">
        <v>1232</v>
      </c>
      <c r="D639" s="58">
        <v>0.0</v>
      </c>
      <c r="E639" s="59">
        <f t="shared" si="47"/>
        <v>3</v>
      </c>
      <c r="F639" s="60">
        <v>0.5</v>
      </c>
      <c r="G639" s="123" t="str">
        <f t="shared" si="48"/>
        <v>#VALUE!</v>
      </c>
      <c r="H639" s="81">
        <v>12.0</v>
      </c>
      <c r="I639" s="63">
        <f t="shared" si="49"/>
        <v>36</v>
      </c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56" t="s">
        <v>276</v>
      </c>
      <c r="B640" s="131">
        <v>1.0</v>
      </c>
      <c r="C640" s="122" t="s">
        <v>1232</v>
      </c>
      <c r="D640" s="58">
        <v>0.0</v>
      </c>
      <c r="E640" s="59">
        <f t="shared" si="47"/>
        <v>1</v>
      </c>
      <c r="F640" s="60">
        <v>0.5</v>
      </c>
      <c r="G640" s="123" t="str">
        <f t="shared" si="48"/>
        <v>#VALUE!</v>
      </c>
      <c r="H640" s="81">
        <v>60.0</v>
      </c>
      <c r="I640" s="63">
        <f t="shared" si="49"/>
        <v>60</v>
      </c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56" t="s">
        <v>279</v>
      </c>
      <c r="B641" s="131">
        <v>1.0</v>
      </c>
      <c r="C641" s="122" t="s">
        <v>1232</v>
      </c>
      <c r="D641" s="58">
        <v>0.0</v>
      </c>
      <c r="E641" s="59">
        <f t="shared" si="47"/>
        <v>1</v>
      </c>
      <c r="F641" s="60">
        <v>0.5</v>
      </c>
      <c r="G641" s="123" t="str">
        <f t="shared" si="48"/>
        <v>#VALUE!</v>
      </c>
      <c r="H641" s="81">
        <v>70.0</v>
      </c>
      <c r="I641" s="63">
        <f t="shared" si="49"/>
        <v>70</v>
      </c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56" t="s">
        <v>303</v>
      </c>
      <c r="B642" s="131">
        <v>1.0</v>
      </c>
      <c r="C642" s="122" t="s">
        <v>1232</v>
      </c>
      <c r="D642" s="58">
        <v>0.0</v>
      </c>
      <c r="E642" s="59">
        <f t="shared" si="47"/>
        <v>1</v>
      </c>
      <c r="F642" s="60">
        <v>0.5</v>
      </c>
      <c r="G642" s="123" t="str">
        <f t="shared" si="48"/>
        <v>#VALUE!</v>
      </c>
      <c r="H642" s="81">
        <v>30.0</v>
      </c>
      <c r="I642" s="63">
        <f t="shared" si="49"/>
        <v>30</v>
      </c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56" t="s">
        <v>306</v>
      </c>
      <c r="B643" s="131">
        <v>1.0</v>
      </c>
      <c r="C643" s="122" t="s">
        <v>1232</v>
      </c>
      <c r="D643" s="58">
        <v>0.0</v>
      </c>
      <c r="E643" s="59">
        <f t="shared" si="47"/>
        <v>1</v>
      </c>
      <c r="F643" s="60">
        <v>0.5</v>
      </c>
      <c r="G643" s="123" t="str">
        <f t="shared" si="48"/>
        <v>#VALUE!</v>
      </c>
      <c r="H643" s="81">
        <v>10.0</v>
      </c>
      <c r="I643" s="63">
        <f t="shared" si="49"/>
        <v>10</v>
      </c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56" t="s">
        <v>308</v>
      </c>
      <c r="B644" s="131">
        <v>1.0</v>
      </c>
      <c r="C644" s="122" t="s">
        <v>1232</v>
      </c>
      <c r="D644" s="58">
        <v>0.0</v>
      </c>
      <c r="E644" s="59">
        <f t="shared" si="47"/>
        <v>1</v>
      </c>
      <c r="F644" s="60">
        <v>0.5</v>
      </c>
      <c r="G644" s="123" t="str">
        <f t="shared" si="48"/>
        <v>#VALUE!</v>
      </c>
      <c r="H644" s="81">
        <v>10.0</v>
      </c>
      <c r="I644" s="63">
        <f t="shared" si="49"/>
        <v>10</v>
      </c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56" t="s">
        <v>163</v>
      </c>
      <c r="B645" s="131">
        <v>1.0</v>
      </c>
      <c r="C645" s="122" t="s">
        <v>1232</v>
      </c>
      <c r="D645" s="58">
        <v>0.0</v>
      </c>
      <c r="E645" s="59">
        <f t="shared" si="47"/>
        <v>1</v>
      </c>
      <c r="F645" s="60">
        <v>0.5</v>
      </c>
      <c r="G645" s="123" t="str">
        <f t="shared" si="48"/>
        <v>#VALUE!</v>
      </c>
      <c r="H645" s="81">
        <v>8.0</v>
      </c>
      <c r="I645" s="63">
        <f t="shared" si="49"/>
        <v>8</v>
      </c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56" t="s">
        <v>218</v>
      </c>
      <c r="B646" s="131">
        <v>1.0</v>
      </c>
      <c r="C646" s="122" t="s">
        <v>1232</v>
      </c>
      <c r="D646" s="58">
        <v>0.0</v>
      </c>
      <c r="E646" s="59">
        <f t="shared" si="47"/>
        <v>1</v>
      </c>
      <c r="F646" s="60">
        <v>0.5</v>
      </c>
      <c r="G646" s="123" t="str">
        <f t="shared" si="48"/>
        <v>#VALUE!</v>
      </c>
      <c r="H646" s="81">
        <v>8.0</v>
      </c>
      <c r="I646" s="63">
        <f t="shared" si="49"/>
        <v>8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56" t="s">
        <v>165</v>
      </c>
      <c r="B647" s="131">
        <v>1.0</v>
      </c>
      <c r="C647" s="122" t="s">
        <v>1232</v>
      </c>
      <c r="D647" s="58">
        <v>0.0</v>
      </c>
      <c r="E647" s="59">
        <f t="shared" si="47"/>
        <v>1</v>
      </c>
      <c r="F647" s="60">
        <v>0.5</v>
      </c>
      <c r="G647" s="123" t="str">
        <f t="shared" si="48"/>
        <v>#VALUE!</v>
      </c>
      <c r="H647" s="81">
        <v>5.0</v>
      </c>
      <c r="I647" s="63">
        <f t="shared" si="49"/>
        <v>5</v>
      </c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56" t="s">
        <v>281</v>
      </c>
      <c r="B648" s="131">
        <v>1.0</v>
      </c>
      <c r="C648" s="122" t="s">
        <v>1232</v>
      </c>
      <c r="D648" s="58">
        <v>0.0</v>
      </c>
      <c r="E648" s="59">
        <f t="shared" si="47"/>
        <v>1</v>
      </c>
      <c r="F648" s="60">
        <v>0.5</v>
      </c>
      <c r="G648" s="123" t="str">
        <f t="shared" si="48"/>
        <v>#VALUE!</v>
      </c>
      <c r="H648" s="81">
        <v>5.0</v>
      </c>
      <c r="I648" s="63">
        <f t="shared" si="49"/>
        <v>5</v>
      </c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56" t="s">
        <v>310</v>
      </c>
      <c r="B649" s="131">
        <v>1.0</v>
      </c>
      <c r="C649" s="122" t="s">
        <v>1232</v>
      </c>
      <c r="D649" s="58">
        <v>0.0</v>
      </c>
      <c r="E649" s="59">
        <f t="shared" si="47"/>
        <v>1</v>
      </c>
      <c r="F649" s="60">
        <v>0.5</v>
      </c>
      <c r="G649" s="123" t="str">
        <f t="shared" si="48"/>
        <v>#VALUE!</v>
      </c>
      <c r="H649" s="81">
        <v>5.0</v>
      </c>
      <c r="I649" s="63">
        <f t="shared" si="49"/>
        <v>5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56" t="s">
        <v>312</v>
      </c>
      <c r="B650" s="131">
        <v>1.0</v>
      </c>
      <c r="C650" s="122" t="s">
        <v>1232</v>
      </c>
      <c r="D650" s="58">
        <v>0.0</v>
      </c>
      <c r="E650" s="59">
        <f t="shared" si="47"/>
        <v>1</v>
      </c>
      <c r="F650" s="60">
        <v>0.5</v>
      </c>
      <c r="G650" s="123" t="str">
        <f t="shared" si="48"/>
        <v>#VALUE!</v>
      </c>
      <c r="H650" s="81">
        <v>5.0</v>
      </c>
      <c r="I650" s="63">
        <f t="shared" si="49"/>
        <v>5</v>
      </c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56" t="s">
        <v>353</v>
      </c>
      <c r="B651" s="131">
        <v>1.0</v>
      </c>
      <c r="C651" s="122" t="s">
        <v>1232</v>
      </c>
      <c r="D651" s="58">
        <v>0.0</v>
      </c>
      <c r="E651" s="59">
        <f t="shared" si="47"/>
        <v>1</v>
      </c>
      <c r="F651" s="60">
        <v>0.5</v>
      </c>
      <c r="G651" s="123" t="str">
        <f t="shared" si="48"/>
        <v>#VALUE!</v>
      </c>
      <c r="H651" s="81">
        <v>5.0</v>
      </c>
      <c r="I651" s="63">
        <f t="shared" si="49"/>
        <v>5</v>
      </c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56" t="s">
        <v>346</v>
      </c>
      <c r="B652" s="131">
        <v>1.0</v>
      </c>
      <c r="C652" s="122" t="s">
        <v>1232</v>
      </c>
      <c r="D652" s="58">
        <v>0.0</v>
      </c>
      <c r="E652" s="59">
        <f t="shared" si="47"/>
        <v>1</v>
      </c>
      <c r="F652" s="60">
        <v>0.5</v>
      </c>
      <c r="G652" s="123" t="str">
        <f t="shared" si="48"/>
        <v>#VALUE!</v>
      </c>
      <c r="H652" s="81">
        <v>8.0</v>
      </c>
      <c r="I652" s="63">
        <f t="shared" si="49"/>
        <v>8</v>
      </c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56" t="s">
        <v>264</v>
      </c>
      <c r="B653" s="131">
        <v>1.0</v>
      </c>
      <c r="C653" s="122" t="s">
        <v>1232</v>
      </c>
      <c r="D653" s="58">
        <v>0.0</v>
      </c>
      <c r="E653" s="59">
        <f t="shared" si="47"/>
        <v>1</v>
      </c>
      <c r="F653" s="60">
        <v>0.5</v>
      </c>
      <c r="G653" s="123" t="str">
        <f t="shared" si="48"/>
        <v>#VALUE!</v>
      </c>
      <c r="H653" s="81">
        <v>8.0</v>
      </c>
      <c r="I653" s="63">
        <f t="shared" si="49"/>
        <v>8</v>
      </c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56" t="s">
        <v>349</v>
      </c>
      <c r="B654" s="131">
        <v>1.0</v>
      </c>
      <c r="C654" s="122" t="s">
        <v>1232</v>
      </c>
      <c r="D654" s="58">
        <v>0.0</v>
      </c>
      <c r="E654" s="59">
        <f t="shared" si="47"/>
        <v>1</v>
      </c>
      <c r="F654" s="60">
        <v>0.5</v>
      </c>
      <c r="G654" s="123" t="str">
        <f t="shared" si="48"/>
        <v>#VALUE!</v>
      </c>
      <c r="H654" s="81">
        <v>8.0</v>
      </c>
      <c r="I654" s="63">
        <f t="shared" si="49"/>
        <v>8</v>
      </c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25"/>
      <c r="B655" s="131">
        <v>1.0</v>
      </c>
      <c r="C655" s="122" t="s">
        <v>1232</v>
      </c>
      <c r="D655" s="58">
        <v>0.0</v>
      </c>
      <c r="E655" s="59">
        <f t="shared" si="47"/>
        <v>1</v>
      </c>
      <c r="F655" s="60">
        <v>0.5</v>
      </c>
      <c r="G655" s="123" t="str">
        <f t="shared" si="48"/>
        <v>#VALUE!</v>
      </c>
      <c r="H655" s="81">
        <v>8.0</v>
      </c>
      <c r="I655" s="63">
        <f t="shared" si="49"/>
        <v>8</v>
      </c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25"/>
      <c r="B656" s="131">
        <v>1.0</v>
      </c>
      <c r="C656" s="122" t="s">
        <v>1232</v>
      </c>
      <c r="D656" s="58">
        <v>0.0</v>
      </c>
      <c r="E656" s="59">
        <f t="shared" si="47"/>
        <v>1</v>
      </c>
      <c r="F656" s="60">
        <v>0.5</v>
      </c>
      <c r="G656" s="123" t="str">
        <f t="shared" si="48"/>
        <v>#VALUE!</v>
      </c>
      <c r="H656" s="81">
        <v>8.0</v>
      </c>
      <c r="I656" s="63">
        <f t="shared" si="49"/>
        <v>8</v>
      </c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25"/>
      <c r="B657" s="131">
        <v>1.0</v>
      </c>
      <c r="C657" s="122" t="s">
        <v>1232</v>
      </c>
      <c r="D657" s="58">
        <v>0.0</v>
      </c>
      <c r="E657" s="59">
        <f t="shared" si="47"/>
        <v>1</v>
      </c>
      <c r="F657" s="60">
        <v>0.5</v>
      </c>
      <c r="G657" s="123" t="str">
        <f t="shared" si="48"/>
        <v>#VALUE!</v>
      </c>
      <c r="H657" s="81">
        <v>8.0</v>
      </c>
      <c r="I657" s="63">
        <f t="shared" si="49"/>
        <v>8</v>
      </c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38" t="s">
        <v>1122</v>
      </c>
      <c r="B658" s="131">
        <v>1.0</v>
      </c>
      <c r="C658" s="122" t="s">
        <v>1232</v>
      </c>
      <c r="D658" s="58">
        <v>0.0</v>
      </c>
      <c r="E658" s="59">
        <f t="shared" si="47"/>
        <v>1</v>
      </c>
      <c r="F658" s="60">
        <v>0.5</v>
      </c>
      <c r="G658" s="123" t="str">
        <f t="shared" si="48"/>
        <v>#VALUE!</v>
      </c>
      <c r="H658" s="81">
        <v>8.0</v>
      </c>
      <c r="I658" s="63">
        <f t="shared" si="49"/>
        <v>8</v>
      </c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38" t="s">
        <v>1124</v>
      </c>
      <c r="B659" s="69"/>
      <c r="C659" s="122" t="s">
        <v>1232</v>
      </c>
      <c r="D659" s="68"/>
      <c r="E659" s="126"/>
      <c r="F659" s="60">
        <v>0.5</v>
      </c>
      <c r="G659" s="123" t="str">
        <f t="shared" si="48"/>
        <v>#VALUE!</v>
      </c>
      <c r="H659" s="121"/>
      <c r="I659" s="127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38" t="s">
        <v>1126</v>
      </c>
      <c r="B660" s="131">
        <v>1.0</v>
      </c>
      <c r="C660" s="122" t="s">
        <v>1232</v>
      </c>
      <c r="D660" s="58">
        <v>0.0</v>
      </c>
      <c r="E660" s="59">
        <f t="shared" ref="E660:E661" si="50">+B660-D660</f>
        <v>1</v>
      </c>
      <c r="F660" s="60">
        <v>0.5</v>
      </c>
      <c r="G660" s="123" t="str">
        <f t="shared" si="48"/>
        <v>#VALUE!</v>
      </c>
      <c r="H660" s="81">
        <v>8.0</v>
      </c>
      <c r="I660" s="63">
        <f t="shared" ref="I660:I661" si="51">+E660*H660</f>
        <v>8</v>
      </c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38" t="s">
        <v>1063</v>
      </c>
      <c r="B661" s="131">
        <v>1.0</v>
      </c>
      <c r="C661" s="122" t="s">
        <v>1232</v>
      </c>
      <c r="D661" s="58">
        <v>0.0</v>
      </c>
      <c r="E661" s="59">
        <f t="shared" si="50"/>
        <v>1</v>
      </c>
      <c r="F661" s="60">
        <v>0.5</v>
      </c>
      <c r="G661" s="123" t="str">
        <f t="shared" si="48"/>
        <v>#VALUE!</v>
      </c>
      <c r="H661" s="81">
        <v>8.0</v>
      </c>
      <c r="I661" s="63">
        <f t="shared" si="51"/>
        <v>8</v>
      </c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38" t="s">
        <v>1068</v>
      </c>
      <c r="B662" s="52"/>
      <c r="C662" s="130" t="s">
        <v>1232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38" t="s">
        <v>1257</v>
      </c>
      <c r="B663" s="19">
        <v>10.0</v>
      </c>
      <c r="C663" s="122" t="s">
        <v>1232</v>
      </c>
      <c r="D663" s="58">
        <v>0.0</v>
      </c>
      <c r="E663" s="59">
        <f t="shared" ref="E663:E665" si="52">+B663-D663</f>
        <v>10</v>
      </c>
      <c r="F663" s="60">
        <v>0.4</v>
      </c>
      <c r="G663" s="123" t="str">
        <f t="shared" ref="G663:G665" si="53">C663+(C663*F663)</f>
        <v>#VALUE!</v>
      </c>
      <c r="H663" s="81">
        <v>4.0</v>
      </c>
      <c r="I663" s="63">
        <f t="shared" ref="I663:I665" si="54">+E663*H663</f>
        <v>40</v>
      </c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38" t="s">
        <v>1258</v>
      </c>
      <c r="B664" s="19">
        <v>10.0</v>
      </c>
      <c r="C664" s="122" t="s">
        <v>1232</v>
      </c>
      <c r="D664" s="58">
        <v>0.0</v>
      </c>
      <c r="E664" s="59">
        <f t="shared" si="52"/>
        <v>10</v>
      </c>
      <c r="F664" s="60">
        <v>0.4</v>
      </c>
      <c r="G664" s="123" t="str">
        <f t="shared" si="53"/>
        <v>#VALUE!</v>
      </c>
      <c r="H664" s="81">
        <v>4.0</v>
      </c>
      <c r="I664" s="63">
        <f t="shared" si="54"/>
        <v>40</v>
      </c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39"/>
      <c r="B665" s="19">
        <v>10.0</v>
      </c>
      <c r="C665" s="122" t="s">
        <v>1232</v>
      </c>
      <c r="D665" s="58">
        <v>0.0</v>
      </c>
      <c r="E665" s="59">
        <f t="shared" si="52"/>
        <v>10</v>
      </c>
      <c r="F665" s="60">
        <v>0.4</v>
      </c>
      <c r="G665" s="123" t="str">
        <f t="shared" si="53"/>
        <v>#VALUE!</v>
      </c>
      <c r="H665" s="81">
        <v>4.0</v>
      </c>
      <c r="I665" s="63">
        <f t="shared" si="54"/>
        <v>40</v>
      </c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39"/>
      <c r="B666" s="69"/>
      <c r="C666" s="122" t="s">
        <v>1232</v>
      </c>
      <c r="D666" s="68"/>
      <c r="E666" s="126"/>
      <c r="F666" s="112"/>
      <c r="G666" s="113"/>
      <c r="H666" s="121"/>
      <c r="I666" s="127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38" t="s">
        <v>1200</v>
      </c>
      <c r="B667" s="19">
        <v>5.0</v>
      </c>
      <c r="C667" s="122" t="s">
        <v>1232</v>
      </c>
      <c r="D667" s="58">
        <v>0.0</v>
      </c>
      <c r="E667" s="59">
        <f t="shared" ref="E667:E676" si="55">+B667-D667</f>
        <v>5</v>
      </c>
      <c r="F667" s="60">
        <v>0.4</v>
      </c>
      <c r="G667" s="123" t="str">
        <f t="shared" ref="G667:G676" si="56">C667+(C667*F667)</f>
        <v>#VALUE!</v>
      </c>
      <c r="H667" s="81">
        <v>4.0</v>
      </c>
      <c r="I667" s="63">
        <f t="shared" ref="I667:I676" si="57">+E667*H667</f>
        <v>20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38" t="s">
        <v>1201</v>
      </c>
      <c r="B668" s="19">
        <v>5.0</v>
      </c>
      <c r="C668" s="122" t="s">
        <v>1232</v>
      </c>
      <c r="D668" s="58">
        <v>0.0</v>
      </c>
      <c r="E668" s="59">
        <f t="shared" si="55"/>
        <v>5</v>
      </c>
      <c r="F668" s="60">
        <v>0.4</v>
      </c>
      <c r="G668" s="123" t="str">
        <f t="shared" si="56"/>
        <v>#VALUE!</v>
      </c>
      <c r="H668" s="81">
        <v>4.0</v>
      </c>
      <c r="I668" s="63">
        <f t="shared" si="57"/>
        <v>20</v>
      </c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38" t="s">
        <v>1202</v>
      </c>
      <c r="B669" s="19">
        <v>5.0</v>
      </c>
      <c r="C669" s="122" t="s">
        <v>1232</v>
      </c>
      <c r="D669" s="58">
        <v>0.0</v>
      </c>
      <c r="E669" s="59">
        <f t="shared" si="55"/>
        <v>5</v>
      </c>
      <c r="F669" s="60">
        <v>0.4</v>
      </c>
      <c r="G669" s="123" t="str">
        <f t="shared" si="56"/>
        <v>#VALUE!</v>
      </c>
      <c r="H669" s="81">
        <v>4.0</v>
      </c>
      <c r="I669" s="63">
        <f t="shared" si="57"/>
        <v>20</v>
      </c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38" t="s">
        <v>1203</v>
      </c>
      <c r="B670" s="19">
        <v>5.0</v>
      </c>
      <c r="C670" s="57">
        <v>1.5</v>
      </c>
      <c r="D670" s="58">
        <v>0.0</v>
      </c>
      <c r="E670" s="59">
        <f t="shared" si="55"/>
        <v>5</v>
      </c>
      <c r="F670" s="60">
        <v>0.4</v>
      </c>
      <c r="G670" s="61">
        <f t="shared" si="56"/>
        <v>2.1</v>
      </c>
      <c r="H670" s="81">
        <v>4.0</v>
      </c>
      <c r="I670" s="63">
        <f t="shared" si="57"/>
        <v>20</v>
      </c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38" t="s">
        <v>1204</v>
      </c>
      <c r="B671" s="19">
        <v>2.0</v>
      </c>
      <c r="C671" s="57">
        <v>1.5</v>
      </c>
      <c r="D671" s="58">
        <v>0.0</v>
      </c>
      <c r="E671" s="59">
        <f t="shared" si="55"/>
        <v>2</v>
      </c>
      <c r="F671" s="60">
        <v>0.4</v>
      </c>
      <c r="G671" s="61">
        <f t="shared" si="56"/>
        <v>2.1</v>
      </c>
      <c r="H671" s="81">
        <v>4.0</v>
      </c>
      <c r="I671" s="63">
        <f t="shared" si="57"/>
        <v>8</v>
      </c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38" t="s">
        <v>1205</v>
      </c>
      <c r="B672" s="19">
        <v>2.0</v>
      </c>
      <c r="C672" s="57">
        <v>1.5</v>
      </c>
      <c r="D672" s="58">
        <v>0.0</v>
      </c>
      <c r="E672" s="59">
        <f t="shared" si="55"/>
        <v>2</v>
      </c>
      <c r="F672" s="60">
        <v>0.4</v>
      </c>
      <c r="G672" s="61">
        <f t="shared" si="56"/>
        <v>2.1</v>
      </c>
      <c r="H672" s="81">
        <v>4.0</v>
      </c>
      <c r="I672" s="63">
        <f t="shared" si="57"/>
        <v>8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38" t="s">
        <v>1206</v>
      </c>
      <c r="B673" s="19">
        <v>2.0</v>
      </c>
      <c r="C673" s="57">
        <v>1.5</v>
      </c>
      <c r="D673" s="58">
        <v>0.0</v>
      </c>
      <c r="E673" s="59">
        <f t="shared" si="55"/>
        <v>2</v>
      </c>
      <c r="F673" s="60">
        <v>0.4</v>
      </c>
      <c r="G673" s="61">
        <f t="shared" si="56"/>
        <v>2.1</v>
      </c>
      <c r="H673" s="81">
        <v>4.0</v>
      </c>
      <c r="I673" s="63">
        <f t="shared" si="57"/>
        <v>8</v>
      </c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38" t="s">
        <v>1207</v>
      </c>
      <c r="B674" s="19">
        <v>2.0</v>
      </c>
      <c r="C674" s="57">
        <v>1.5</v>
      </c>
      <c r="D674" s="58">
        <v>0.0</v>
      </c>
      <c r="E674" s="59">
        <f t="shared" si="55"/>
        <v>2</v>
      </c>
      <c r="F674" s="60">
        <v>0.4</v>
      </c>
      <c r="G674" s="61">
        <f t="shared" si="56"/>
        <v>2.1</v>
      </c>
      <c r="H674" s="81">
        <v>4.0</v>
      </c>
      <c r="I674" s="63">
        <f t="shared" si="57"/>
        <v>8</v>
      </c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38" t="s">
        <v>1208</v>
      </c>
      <c r="B675" s="19">
        <v>1.0</v>
      </c>
      <c r="C675" s="57">
        <v>1.5</v>
      </c>
      <c r="D675" s="58">
        <v>0.0</v>
      </c>
      <c r="E675" s="59">
        <f t="shared" si="55"/>
        <v>1</v>
      </c>
      <c r="F675" s="60">
        <v>0.4</v>
      </c>
      <c r="G675" s="61">
        <f t="shared" si="56"/>
        <v>2.1</v>
      </c>
      <c r="H675" s="81">
        <v>4.0</v>
      </c>
      <c r="I675" s="63">
        <f t="shared" si="57"/>
        <v>4</v>
      </c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38" t="s">
        <v>1209</v>
      </c>
      <c r="B676" s="19">
        <v>1.0</v>
      </c>
      <c r="C676" s="57">
        <v>1.5</v>
      </c>
      <c r="D676" s="58">
        <v>0.0</v>
      </c>
      <c r="E676" s="59">
        <f t="shared" si="55"/>
        <v>1</v>
      </c>
      <c r="F676" s="60">
        <v>0.4</v>
      </c>
      <c r="G676" s="61">
        <f t="shared" si="56"/>
        <v>2.1</v>
      </c>
      <c r="H676" s="81">
        <v>4.0</v>
      </c>
      <c r="I676" s="63">
        <f t="shared" si="57"/>
        <v>4</v>
      </c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38" t="s">
        <v>1210</v>
      </c>
      <c r="B677" s="52"/>
      <c r="C677" s="140"/>
      <c r="D677" s="65"/>
      <c r="E677" s="133"/>
      <c r="F677" s="134"/>
      <c r="G677" s="135"/>
      <c r="H677" s="136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38" t="s">
        <v>1211</v>
      </c>
      <c r="B678" s="52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38" t="s">
        <v>1212</v>
      </c>
      <c r="B679" s="19">
        <v>10.0</v>
      </c>
      <c r="C679" s="57">
        <v>0.5</v>
      </c>
      <c r="D679" s="58">
        <v>0.0</v>
      </c>
      <c r="E679" s="59">
        <f>+B679-D679</f>
        <v>10</v>
      </c>
      <c r="F679" s="60">
        <v>0.8</v>
      </c>
      <c r="G679" s="61">
        <f>C679+(C679*F679)</f>
        <v>0.9</v>
      </c>
      <c r="H679" s="81">
        <v>3.0</v>
      </c>
      <c r="I679" s="63">
        <f>+E679*H679</f>
        <v>30</v>
      </c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41" t="s">
        <v>1259</v>
      </c>
      <c r="B680" s="52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38" t="s">
        <v>1260</v>
      </c>
      <c r="B681" s="19">
        <v>66.0</v>
      </c>
      <c r="C681" s="57">
        <v>3.65</v>
      </c>
      <c r="D681" s="58">
        <v>0.0</v>
      </c>
      <c r="E681" s="59">
        <f>+B681-D681</f>
        <v>66</v>
      </c>
      <c r="F681" s="60">
        <v>0.8</v>
      </c>
      <c r="G681" s="61">
        <f>C681+(C681*F681)</f>
        <v>6.57</v>
      </c>
      <c r="H681" s="81">
        <v>7.0</v>
      </c>
      <c r="I681" s="63">
        <f>+E681*H681</f>
        <v>462</v>
      </c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38" t="s">
        <v>1261</v>
      </c>
      <c r="B682" s="52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38" t="s">
        <v>1262</v>
      </c>
      <c r="B683" s="19">
        <v>3.0</v>
      </c>
      <c r="C683" s="64">
        <v>5.0</v>
      </c>
      <c r="D683" s="58">
        <v>0.0</v>
      </c>
      <c r="E683" s="142">
        <f>+B683-D683</f>
        <v>3</v>
      </c>
      <c r="F683" s="60">
        <v>0.4</v>
      </c>
      <c r="G683" s="143">
        <f>C683+(C683*F683)</f>
        <v>7</v>
      </c>
      <c r="H683" s="81">
        <v>10.0</v>
      </c>
      <c r="I683" s="144">
        <f>+E683*H683</f>
        <v>30</v>
      </c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38" t="s">
        <v>1213</v>
      </c>
      <c r="B684" s="52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38" t="s">
        <v>1214</v>
      </c>
      <c r="B685" s="52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38" t="s">
        <v>1263</v>
      </c>
      <c r="B686" s="19">
        <v>5.0</v>
      </c>
      <c r="C686" s="57">
        <v>1.0</v>
      </c>
      <c r="D686" s="58">
        <v>0.0</v>
      </c>
      <c r="E686" s="59">
        <f t="shared" ref="E686:E689" si="58">+B686-D686</f>
        <v>5</v>
      </c>
      <c r="F686" s="60">
        <v>0.8</v>
      </c>
      <c r="G686" s="61">
        <f t="shared" ref="G686:G689" si="59">C686+(C686*F686)</f>
        <v>1.8</v>
      </c>
      <c r="H686" s="81">
        <v>3.0</v>
      </c>
      <c r="I686" s="63">
        <f t="shared" ref="I686:I689" si="60">+E686*H686</f>
        <v>15</v>
      </c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38" t="s">
        <v>1216</v>
      </c>
      <c r="B687" s="19">
        <v>5.0</v>
      </c>
      <c r="C687" s="57">
        <v>1.0</v>
      </c>
      <c r="D687" s="58">
        <v>0.0</v>
      </c>
      <c r="E687" s="59">
        <f t="shared" si="58"/>
        <v>5</v>
      </c>
      <c r="F687" s="60">
        <v>0.8</v>
      </c>
      <c r="G687" s="61">
        <f t="shared" si="59"/>
        <v>1.8</v>
      </c>
      <c r="H687" s="81">
        <v>3.0</v>
      </c>
      <c r="I687" s="63">
        <f t="shared" si="60"/>
        <v>15</v>
      </c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38" t="s">
        <v>1217</v>
      </c>
      <c r="B688" s="19">
        <v>5.0</v>
      </c>
      <c r="C688" s="57">
        <v>1.0</v>
      </c>
      <c r="D688" s="58">
        <v>0.0</v>
      </c>
      <c r="E688" s="59">
        <f t="shared" si="58"/>
        <v>5</v>
      </c>
      <c r="F688" s="60">
        <v>0.8</v>
      </c>
      <c r="G688" s="61">
        <f t="shared" si="59"/>
        <v>1.8</v>
      </c>
      <c r="H688" s="81">
        <v>3.0</v>
      </c>
      <c r="I688" s="63">
        <f t="shared" si="60"/>
        <v>15</v>
      </c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38" t="s">
        <v>1218</v>
      </c>
      <c r="B689" s="19">
        <v>5.0</v>
      </c>
      <c r="C689" s="57">
        <v>1.0</v>
      </c>
      <c r="D689" s="58">
        <v>0.0</v>
      </c>
      <c r="E689" s="59">
        <f t="shared" si="58"/>
        <v>5</v>
      </c>
      <c r="F689" s="60">
        <v>0.8</v>
      </c>
      <c r="G689" s="61">
        <f t="shared" si="59"/>
        <v>1.8</v>
      </c>
      <c r="H689" s="81">
        <v>3.0</v>
      </c>
      <c r="I689" s="63">
        <f t="shared" si="60"/>
        <v>15</v>
      </c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38" t="s">
        <v>1219</v>
      </c>
      <c r="B690" s="52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38" t="s">
        <v>1220</v>
      </c>
      <c r="B691" s="19">
        <v>1.0</v>
      </c>
      <c r="C691" s="57">
        <v>1.6</v>
      </c>
      <c r="D691" s="58">
        <v>0.0</v>
      </c>
      <c r="E691" s="83">
        <f>+B691-D691</f>
        <v>1</v>
      </c>
      <c r="F691" s="60">
        <v>0.4</v>
      </c>
      <c r="G691" s="61">
        <f>C691+(C691*F691)</f>
        <v>2.24</v>
      </c>
      <c r="H691" s="81">
        <v>4.0</v>
      </c>
      <c r="I691" s="63">
        <f>+E691*H691</f>
        <v>4</v>
      </c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38" t="s">
        <v>1221</v>
      </c>
      <c r="B692" s="52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38" t="s">
        <v>1264</v>
      </c>
      <c r="B693" s="52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38" t="s">
        <v>1221</v>
      </c>
      <c r="B694" s="19">
        <v>6.0</v>
      </c>
      <c r="C694" s="57">
        <v>3.5</v>
      </c>
      <c r="D694" s="58">
        <v>0.0</v>
      </c>
      <c r="E694" s="59">
        <f t="shared" ref="E694:E695" si="61">+B694-D694</f>
        <v>6</v>
      </c>
      <c r="F694" s="60">
        <v>0.8</v>
      </c>
      <c r="G694" s="61">
        <f t="shared" ref="G694:G695" si="62">C694+(C694*F694)</f>
        <v>6.3</v>
      </c>
      <c r="H694" s="81">
        <v>7.0</v>
      </c>
      <c r="I694" s="63">
        <f t="shared" ref="I694:I695" si="63">+E694*H694</f>
        <v>42</v>
      </c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38" t="s">
        <v>1221</v>
      </c>
      <c r="B695" s="19">
        <v>5.0</v>
      </c>
      <c r="C695" s="57">
        <v>3.5</v>
      </c>
      <c r="D695" s="58">
        <v>0.0</v>
      </c>
      <c r="E695" s="59">
        <f t="shared" si="61"/>
        <v>5</v>
      </c>
      <c r="F695" s="60">
        <v>0.8</v>
      </c>
      <c r="G695" s="61">
        <f t="shared" si="62"/>
        <v>6.3</v>
      </c>
      <c r="H695" s="81">
        <v>7.0</v>
      </c>
      <c r="I695" s="63">
        <f t="shared" si="63"/>
        <v>35</v>
      </c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38" t="s">
        <v>1224</v>
      </c>
      <c r="B696" s="52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38" t="s">
        <v>1225</v>
      </c>
      <c r="B697" s="52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38" t="s">
        <v>1226</v>
      </c>
      <c r="B698" s="19">
        <v>60.0</v>
      </c>
      <c r="C698" s="57">
        <v>0.5</v>
      </c>
      <c r="D698" s="58">
        <v>0.0</v>
      </c>
      <c r="E698" s="59">
        <f t="shared" ref="E698:E699" si="64">+B698-D698</f>
        <v>60</v>
      </c>
      <c r="F698" s="60">
        <v>0.8</v>
      </c>
      <c r="G698" s="61">
        <f t="shared" ref="G698:G699" si="65">C698+(C698*F698)</f>
        <v>0.9</v>
      </c>
      <c r="H698" s="81">
        <v>1.0</v>
      </c>
      <c r="I698" s="63">
        <f t="shared" ref="I698:I699" si="66">+E698*H698</f>
        <v>60</v>
      </c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38" t="s">
        <v>1227</v>
      </c>
      <c r="B699" s="19">
        <v>30.0</v>
      </c>
      <c r="C699" s="57">
        <v>0.5</v>
      </c>
      <c r="D699" s="58">
        <v>0.0</v>
      </c>
      <c r="E699" s="59">
        <f t="shared" si="64"/>
        <v>30</v>
      </c>
      <c r="F699" s="60">
        <v>0.8</v>
      </c>
      <c r="G699" s="61">
        <f t="shared" si="65"/>
        <v>0.9</v>
      </c>
      <c r="H699" s="81">
        <v>1.0</v>
      </c>
      <c r="I699" s="63">
        <f t="shared" si="66"/>
        <v>30</v>
      </c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38" t="s">
        <v>1228</v>
      </c>
      <c r="B700" s="52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38" t="s">
        <v>1230</v>
      </c>
      <c r="B701" s="52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38" t="s">
        <v>1231</v>
      </c>
      <c r="B702" s="19">
        <v>5.0</v>
      </c>
      <c r="C702" s="57">
        <v>12.92</v>
      </c>
      <c r="D702" s="58">
        <v>0.0</v>
      </c>
      <c r="E702" s="59">
        <f>+B702-D702</f>
        <v>5</v>
      </c>
      <c r="F702" s="60">
        <v>0.5</v>
      </c>
      <c r="G702" s="61">
        <f>C702+(C702*F702)</f>
        <v>19.38</v>
      </c>
      <c r="H702" s="81">
        <v>20.0</v>
      </c>
      <c r="I702" s="63">
        <f>+E702*H702</f>
        <v>100</v>
      </c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25"/>
      <c r="B703" s="52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38" t="s">
        <v>1233</v>
      </c>
      <c r="B704" s="52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38" t="s">
        <v>1233</v>
      </c>
      <c r="B705" s="69"/>
      <c r="C705" s="85"/>
      <c r="D705" s="68"/>
      <c r="E705" s="126"/>
      <c r="F705" s="112"/>
      <c r="G705" s="113"/>
      <c r="H705" s="121"/>
      <c r="I705" s="127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39"/>
      <c r="B706" s="69"/>
      <c r="C706" s="85"/>
      <c r="D706" s="68"/>
      <c r="E706" s="126"/>
      <c r="F706" s="112"/>
      <c r="G706" s="113"/>
      <c r="H706" s="121"/>
      <c r="I706" s="127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38" t="s">
        <v>1234</v>
      </c>
      <c r="B707" s="19">
        <v>2.0</v>
      </c>
      <c r="C707" s="64">
        <v>2.0</v>
      </c>
      <c r="D707" s="58">
        <v>0.0</v>
      </c>
      <c r="E707" s="83">
        <f>+B707-D707</f>
        <v>2</v>
      </c>
      <c r="F707" s="60">
        <v>0.4</v>
      </c>
      <c r="G707" s="61">
        <f>C707+(C707*F707)</f>
        <v>2.8</v>
      </c>
      <c r="H707" s="81">
        <v>4.0</v>
      </c>
      <c r="I707" s="63">
        <f>+E707*H707</f>
        <v>8</v>
      </c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38" t="s">
        <v>1235</v>
      </c>
      <c r="B708" s="69"/>
      <c r="C708" s="85"/>
      <c r="D708" s="68"/>
      <c r="E708" s="126"/>
      <c r="F708" s="112"/>
      <c r="G708" s="113"/>
      <c r="H708" s="121"/>
      <c r="I708" s="127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38" t="s">
        <v>1236</v>
      </c>
      <c r="B709" s="69"/>
      <c r="C709" s="85"/>
      <c r="D709" s="68"/>
      <c r="E709" s="126"/>
      <c r="F709" s="112"/>
      <c r="G709" s="113"/>
      <c r="H709" s="121"/>
      <c r="I709" s="127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25"/>
      <c r="B710" s="69"/>
      <c r="C710" s="85"/>
      <c r="D710" s="68"/>
      <c r="E710" s="126"/>
      <c r="F710" s="112"/>
      <c r="G710" s="113"/>
      <c r="H710" s="121"/>
      <c r="I710" s="127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56" t="s">
        <v>1177</v>
      </c>
      <c r="B711" s="19">
        <v>10.0</v>
      </c>
      <c r="C711" s="57">
        <v>2.0</v>
      </c>
      <c r="D711" s="58">
        <v>0.0</v>
      </c>
      <c r="E711" s="59">
        <f t="shared" ref="E711:E718" si="67">+B711-D711</f>
        <v>10</v>
      </c>
      <c r="F711" s="60">
        <v>0.5</v>
      </c>
      <c r="G711" s="61">
        <f t="shared" ref="G711:G718" si="68">C711+(C711*F711)</f>
        <v>3</v>
      </c>
      <c r="H711" s="81">
        <v>4.0</v>
      </c>
      <c r="I711" s="63">
        <f t="shared" ref="I711:I718" si="69">+E711*H711</f>
        <v>40</v>
      </c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56" t="s">
        <v>1179</v>
      </c>
      <c r="B712" s="19">
        <v>10.0</v>
      </c>
      <c r="C712" s="57">
        <v>2.5</v>
      </c>
      <c r="D712" s="58">
        <v>0.0</v>
      </c>
      <c r="E712" s="59">
        <f t="shared" si="67"/>
        <v>10</v>
      </c>
      <c r="F712" s="60">
        <v>0.5</v>
      </c>
      <c r="G712" s="61">
        <f t="shared" si="68"/>
        <v>3.75</v>
      </c>
      <c r="H712" s="81">
        <v>5.0</v>
      </c>
      <c r="I712" s="63">
        <f t="shared" si="69"/>
        <v>50</v>
      </c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56" t="s">
        <v>1180</v>
      </c>
      <c r="B713" s="19">
        <v>10.0</v>
      </c>
      <c r="C713" s="57">
        <v>2.0</v>
      </c>
      <c r="D713" s="58">
        <v>0.0</v>
      </c>
      <c r="E713" s="59">
        <f t="shared" si="67"/>
        <v>10</v>
      </c>
      <c r="F713" s="60">
        <v>0.5</v>
      </c>
      <c r="G713" s="61">
        <f t="shared" si="68"/>
        <v>3</v>
      </c>
      <c r="H713" s="81">
        <v>5.0</v>
      </c>
      <c r="I713" s="63">
        <f t="shared" si="69"/>
        <v>50</v>
      </c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56" t="s">
        <v>1181</v>
      </c>
      <c r="B714" s="19">
        <v>10.0</v>
      </c>
      <c r="C714" s="57">
        <v>2.0</v>
      </c>
      <c r="D714" s="58">
        <v>0.0</v>
      </c>
      <c r="E714" s="59">
        <f t="shared" si="67"/>
        <v>10</v>
      </c>
      <c r="F714" s="60">
        <v>0.5</v>
      </c>
      <c r="G714" s="61">
        <f t="shared" si="68"/>
        <v>3</v>
      </c>
      <c r="H714" s="81">
        <v>5.0</v>
      </c>
      <c r="I714" s="63">
        <f t="shared" si="69"/>
        <v>50</v>
      </c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56" t="s">
        <v>1182</v>
      </c>
      <c r="B715" s="19">
        <v>10.0</v>
      </c>
      <c r="C715" s="57">
        <v>2.0</v>
      </c>
      <c r="D715" s="58">
        <v>0.0</v>
      </c>
      <c r="E715" s="59">
        <f t="shared" si="67"/>
        <v>10</v>
      </c>
      <c r="F715" s="60">
        <v>0.5</v>
      </c>
      <c r="G715" s="61">
        <f t="shared" si="68"/>
        <v>3</v>
      </c>
      <c r="H715" s="81">
        <v>5.0</v>
      </c>
      <c r="I715" s="63">
        <f t="shared" si="69"/>
        <v>50</v>
      </c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56" t="s">
        <v>1183</v>
      </c>
      <c r="B716" s="19">
        <v>5.0</v>
      </c>
      <c r="C716" s="57">
        <v>12.92</v>
      </c>
      <c r="D716" s="58">
        <v>0.0</v>
      </c>
      <c r="E716" s="59">
        <f t="shared" si="67"/>
        <v>5</v>
      </c>
      <c r="F716" s="60">
        <v>0.5</v>
      </c>
      <c r="G716" s="61">
        <f t="shared" si="68"/>
        <v>19.38</v>
      </c>
      <c r="H716" s="81">
        <v>20.0</v>
      </c>
      <c r="I716" s="63">
        <f t="shared" si="69"/>
        <v>100</v>
      </c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56" t="s">
        <v>1184</v>
      </c>
      <c r="B717" s="19">
        <v>5.0</v>
      </c>
      <c r="C717" s="57">
        <v>12.92</v>
      </c>
      <c r="D717" s="58">
        <v>0.0</v>
      </c>
      <c r="E717" s="59">
        <f t="shared" si="67"/>
        <v>5</v>
      </c>
      <c r="F717" s="60">
        <v>0.5</v>
      </c>
      <c r="G717" s="61">
        <f t="shared" si="68"/>
        <v>19.38</v>
      </c>
      <c r="H717" s="81">
        <v>20.0</v>
      </c>
      <c r="I717" s="63">
        <f t="shared" si="69"/>
        <v>100</v>
      </c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56" t="s">
        <v>1185</v>
      </c>
      <c r="B718" s="19">
        <v>5.0</v>
      </c>
      <c r="C718" s="57">
        <v>12.92</v>
      </c>
      <c r="D718" s="58">
        <v>0.0</v>
      </c>
      <c r="E718" s="59">
        <f t="shared" si="67"/>
        <v>5</v>
      </c>
      <c r="F718" s="60">
        <v>0.5</v>
      </c>
      <c r="G718" s="61">
        <f t="shared" si="68"/>
        <v>19.38</v>
      </c>
      <c r="H718" s="81">
        <v>20.0</v>
      </c>
      <c r="I718" s="63">
        <f t="shared" si="69"/>
        <v>100</v>
      </c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56" t="s">
        <v>1186</v>
      </c>
      <c r="B719" s="52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56" t="s">
        <v>1187</v>
      </c>
      <c r="B720" s="52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45"/>
      <c r="B721" s="52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39"/>
      <c r="B722" s="52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38" t="s">
        <v>1265</v>
      </c>
      <c r="B723" s="19">
        <v>4.0</v>
      </c>
      <c r="C723" s="57">
        <v>3.12</v>
      </c>
      <c r="D723" s="58">
        <v>0.0</v>
      </c>
      <c r="E723" s="59">
        <f t="shared" ref="E723:E735" si="70">+B723-D723</f>
        <v>4</v>
      </c>
      <c r="F723" s="60">
        <v>0.5</v>
      </c>
      <c r="G723" s="61">
        <f t="shared" ref="G723:G735" si="71">C723+(C723*F723)</f>
        <v>4.68</v>
      </c>
      <c r="H723" s="81">
        <v>5.0</v>
      </c>
      <c r="I723" s="63">
        <f t="shared" ref="I723:I735" si="72">+E723*H723</f>
        <v>20</v>
      </c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39"/>
      <c r="B724" s="19">
        <v>4.0</v>
      </c>
      <c r="C724" s="57">
        <v>3.47</v>
      </c>
      <c r="D724" s="58">
        <v>0.0</v>
      </c>
      <c r="E724" s="59">
        <f t="shared" si="70"/>
        <v>4</v>
      </c>
      <c r="F724" s="60">
        <v>0.5</v>
      </c>
      <c r="G724" s="61">
        <f t="shared" si="71"/>
        <v>5.205</v>
      </c>
      <c r="H724" s="81">
        <v>6.0</v>
      </c>
      <c r="I724" s="63">
        <f t="shared" si="72"/>
        <v>24</v>
      </c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38" t="s">
        <v>729</v>
      </c>
      <c r="B725" s="19">
        <v>4.0</v>
      </c>
      <c r="C725" s="57">
        <v>3.12</v>
      </c>
      <c r="D725" s="58">
        <v>0.0</v>
      </c>
      <c r="E725" s="59">
        <f t="shared" si="70"/>
        <v>4</v>
      </c>
      <c r="F725" s="60">
        <v>0.5</v>
      </c>
      <c r="G725" s="61">
        <f t="shared" si="71"/>
        <v>4.68</v>
      </c>
      <c r="H725" s="81">
        <v>5.0</v>
      </c>
      <c r="I725" s="63">
        <f t="shared" si="72"/>
        <v>20</v>
      </c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39"/>
      <c r="B726" s="19">
        <v>4.0</v>
      </c>
      <c r="C726" s="57">
        <v>3.47</v>
      </c>
      <c r="D726" s="58">
        <v>0.0</v>
      </c>
      <c r="E726" s="59">
        <f t="shared" si="70"/>
        <v>4</v>
      </c>
      <c r="F726" s="60">
        <v>0.5</v>
      </c>
      <c r="G726" s="61">
        <f t="shared" si="71"/>
        <v>5.205</v>
      </c>
      <c r="H726" s="81">
        <v>6.0</v>
      </c>
      <c r="I726" s="63">
        <f t="shared" si="72"/>
        <v>24</v>
      </c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38" t="s">
        <v>1266</v>
      </c>
      <c r="B727" s="19">
        <v>5.0</v>
      </c>
      <c r="C727" s="57">
        <v>2.39</v>
      </c>
      <c r="D727" s="58">
        <v>0.0</v>
      </c>
      <c r="E727" s="59">
        <f t="shared" si="70"/>
        <v>5</v>
      </c>
      <c r="F727" s="60">
        <v>0.5</v>
      </c>
      <c r="G727" s="61">
        <f t="shared" si="71"/>
        <v>3.585</v>
      </c>
      <c r="H727" s="81">
        <v>5.0</v>
      </c>
      <c r="I727" s="63">
        <f t="shared" si="72"/>
        <v>25</v>
      </c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39"/>
      <c r="B728" s="19">
        <v>5.0</v>
      </c>
      <c r="C728" s="57">
        <v>2.39</v>
      </c>
      <c r="D728" s="58">
        <v>0.0</v>
      </c>
      <c r="E728" s="59">
        <f t="shared" si="70"/>
        <v>5</v>
      </c>
      <c r="F728" s="60">
        <v>0.5</v>
      </c>
      <c r="G728" s="61">
        <f t="shared" si="71"/>
        <v>3.585</v>
      </c>
      <c r="H728" s="81">
        <v>5.0</v>
      </c>
      <c r="I728" s="63">
        <f t="shared" si="72"/>
        <v>25</v>
      </c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39"/>
      <c r="B729" s="19">
        <v>4.0</v>
      </c>
      <c r="C729" s="57">
        <v>2.39</v>
      </c>
      <c r="D729" s="58">
        <v>0.0</v>
      </c>
      <c r="E729" s="59">
        <f t="shared" si="70"/>
        <v>4</v>
      </c>
      <c r="F729" s="60">
        <v>0.5</v>
      </c>
      <c r="G729" s="61">
        <f t="shared" si="71"/>
        <v>3.585</v>
      </c>
      <c r="H729" s="81">
        <v>5.0</v>
      </c>
      <c r="I729" s="63">
        <f t="shared" si="72"/>
        <v>20</v>
      </c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38" t="s">
        <v>1107</v>
      </c>
      <c r="B730" s="19">
        <v>4.0</v>
      </c>
      <c r="C730" s="57">
        <v>2.3</v>
      </c>
      <c r="D730" s="58">
        <v>0.0</v>
      </c>
      <c r="E730" s="59">
        <f t="shared" si="70"/>
        <v>4</v>
      </c>
      <c r="F730" s="60">
        <v>0.5</v>
      </c>
      <c r="G730" s="61">
        <f t="shared" si="71"/>
        <v>3.45</v>
      </c>
      <c r="H730" s="81">
        <v>5.0</v>
      </c>
      <c r="I730" s="63">
        <f t="shared" si="72"/>
        <v>20</v>
      </c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38" t="s">
        <v>1108</v>
      </c>
      <c r="B731" s="19">
        <v>4.0</v>
      </c>
      <c r="C731" s="57">
        <v>2.3</v>
      </c>
      <c r="D731" s="58">
        <v>0.0</v>
      </c>
      <c r="E731" s="59">
        <f t="shared" si="70"/>
        <v>4</v>
      </c>
      <c r="F731" s="60">
        <v>0.5</v>
      </c>
      <c r="G731" s="61">
        <f t="shared" si="71"/>
        <v>3.45</v>
      </c>
      <c r="H731" s="81">
        <v>5.0</v>
      </c>
      <c r="I731" s="63">
        <f t="shared" si="72"/>
        <v>20</v>
      </c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38" t="s">
        <v>1109</v>
      </c>
      <c r="B732" s="146">
        <v>4.0</v>
      </c>
      <c r="C732" s="147">
        <v>2.6</v>
      </c>
      <c r="D732" s="148">
        <v>0.0</v>
      </c>
      <c r="E732" s="149">
        <f t="shared" si="70"/>
        <v>4</v>
      </c>
      <c r="F732" s="150">
        <v>0.5</v>
      </c>
      <c r="G732" s="151">
        <f t="shared" si="71"/>
        <v>3.9</v>
      </c>
      <c r="H732" s="152">
        <v>5.0</v>
      </c>
      <c r="I732" s="153">
        <f t="shared" si="72"/>
        <v>20</v>
      </c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38" t="s">
        <v>1110</v>
      </c>
      <c r="B733" s="19">
        <v>4.0</v>
      </c>
      <c r="C733" s="57">
        <v>2.4</v>
      </c>
      <c r="D733" s="58">
        <v>0.0</v>
      </c>
      <c r="E733" s="59">
        <f t="shared" si="70"/>
        <v>4</v>
      </c>
      <c r="F733" s="60">
        <v>0.5</v>
      </c>
      <c r="G733" s="61">
        <f t="shared" si="71"/>
        <v>3.6</v>
      </c>
      <c r="H733" s="81">
        <v>5.0</v>
      </c>
      <c r="I733" s="63">
        <f t="shared" si="72"/>
        <v>20</v>
      </c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</row>
    <row r="734">
      <c r="A734" s="139"/>
      <c r="B734" s="19">
        <v>4.0</v>
      </c>
      <c r="C734" s="57">
        <v>2.42</v>
      </c>
      <c r="D734" s="58">
        <v>0.0</v>
      </c>
      <c r="E734" s="59">
        <f t="shared" si="70"/>
        <v>4</v>
      </c>
      <c r="F734" s="60">
        <v>0.5</v>
      </c>
      <c r="G734" s="61">
        <f t="shared" si="71"/>
        <v>3.63</v>
      </c>
      <c r="H734" s="81">
        <v>5.0</v>
      </c>
      <c r="I734" s="63">
        <f t="shared" si="72"/>
        <v>20</v>
      </c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</row>
    <row r="735">
      <c r="A735" s="138" t="s">
        <v>646</v>
      </c>
      <c r="B735" s="19">
        <v>4.0</v>
      </c>
      <c r="C735" s="57">
        <v>2.54</v>
      </c>
      <c r="D735" s="58">
        <v>0.0</v>
      </c>
      <c r="E735" s="59">
        <f t="shared" si="70"/>
        <v>4</v>
      </c>
      <c r="F735" s="60">
        <v>0.5</v>
      </c>
      <c r="G735" s="61">
        <f t="shared" si="71"/>
        <v>3.81</v>
      </c>
      <c r="H735" s="81">
        <v>5.0</v>
      </c>
      <c r="I735" s="63">
        <f t="shared" si="72"/>
        <v>20</v>
      </c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</row>
    <row r="736">
      <c r="A736" s="139"/>
      <c r="B736" s="52"/>
      <c r="C736" s="140"/>
      <c r="D736" s="65"/>
      <c r="E736" s="133"/>
      <c r="F736" s="134"/>
      <c r="G736" s="135"/>
      <c r="H736" s="136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39"/>
      <c r="B737" s="52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38" t="s">
        <v>1267</v>
      </c>
      <c r="B738" s="19">
        <v>3.0</v>
      </c>
      <c r="C738" s="57">
        <v>21.0</v>
      </c>
      <c r="D738" s="58">
        <v>0.0</v>
      </c>
      <c r="E738" s="59">
        <f t="shared" ref="E738:E739" si="73">+B738-D738</f>
        <v>3</v>
      </c>
      <c r="F738" s="60">
        <v>0.5</v>
      </c>
      <c r="G738" s="61">
        <f t="shared" ref="G738:G739" si="74">C738+(C738*F738)</f>
        <v>31.5</v>
      </c>
      <c r="H738" s="81">
        <v>30.0</v>
      </c>
      <c r="I738" s="63">
        <f t="shared" ref="I738:I739" si="75">+E738*H738</f>
        <v>90</v>
      </c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38" t="s">
        <v>1268</v>
      </c>
      <c r="B739" s="19">
        <v>3.0</v>
      </c>
      <c r="C739" s="57">
        <v>21.0</v>
      </c>
      <c r="D739" s="58">
        <v>0.0</v>
      </c>
      <c r="E739" s="59">
        <f t="shared" si="73"/>
        <v>3</v>
      </c>
      <c r="F739" s="60">
        <v>0.5</v>
      </c>
      <c r="G739" s="61">
        <f t="shared" si="74"/>
        <v>31.5</v>
      </c>
      <c r="H739" s="81">
        <v>30.0</v>
      </c>
      <c r="I739" s="63">
        <f t="shared" si="75"/>
        <v>90</v>
      </c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39"/>
      <c r="B740" s="52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39"/>
      <c r="B741" s="52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38" t="s">
        <v>1269</v>
      </c>
      <c r="B742" s="52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38" t="s">
        <v>1270</v>
      </c>
      <c r="B743" s="19">
        <v>10.0</v>
      </c>
      <c r="C743" s="57">
        <v>1.1</v>
      </c>
      <c r="D743" s="58">
        <v>0.0</v>
      </c>
      <c r="E743" s="59">
        <f t="shared" ref="E743:E750" si="76">+B743-D743</f>
        <v>10</v>
      </c>
      <c r="F743" s="60">
        <v>0.5</v>
      </c>
      <c r="G743" s="61">
        <f t="shared" ref="G743:G750" si="77">C743+(C743*F743)</f>
        <v>1.65</v>
      </c>
      <c r="H743" s="81">
        <v>2.5</v>
      </c>
      <c r="I743" s="63">
        <f t="shared" ref="I743:I750" si="78">+E743*H743</f>
        <v>25</v>
      </c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39"/>
      <c r="B744" s="19">
        <v>10.0</v>
      </c>
      <c r="C744" s="57">
        <v>0.62</v>
      </c>
      <c r="D744" s="58">
        <v>0.0</v>
      </c>
      <c r="E744" s="59">
        <f t="shared" si="76"/>
        <v>10</v>
      </c>
      <c r="F744" s="60">
        <v>0.5</v>
      </c>
      <c r="G744" s="61">
        <f t="shared" si="77"/>
        <v>0.93</v>
      </c>
      <c r="H744" s="81">
        <v>2.0</v>
      </c>
      <c r="I744" s="63">
        <f t="shared" si="78"/>
        <v>20</v>
      </c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39"/>
      <c r="B745" s="19">
        <v>10.0</v>
      </c>
      <c r="C745" s="57">
        <v>1.04</v>
      </c>
      <c r="D745" s="58">
        <v>0.0</v>
      </c>
      <c r="E745" s="59">
        <f t="shared" si="76"/>
        <v>10</v>
      </c>
      <c r="F745" s="60">
        <v>0.5</v>
      </c>
      <c r="G745" s="61">
        <f t="shared" si="77"/>
        <v>1.56</v>
      </c>
      <c r="H745" s="81">
        <v>2.0</v>
      </c>
      <c r="I745" s="63">
        <f t="shared" si="78"/>
        <v>20</v>
      </c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38" t="s">
        <v>1162</v>
      </c>
      <c r="B746" s="19">
        <v>10.0</v>
      </c>
      <c r="C746" s="57">
        <v>0.39</v>
      </c>
      <c r="D746" s="58">
        <v>0.0</v>
      </c>
      <c r="E746" s="59">
        <f t="shared" si="76"/>
        <v>10</v>
      </c>
      <c r="F746" s="60">
        <v>0.5</v>
      </c>
      <c r="G746" s="61">
        <f t="shared" si="77"/>
        <v>0.585</v>
      </c>
      <c r="H746" s="81">
        <v>30.0</v>
      </c>
      <c r="I746" s="63">
        <f t="shared" si="78"/>
        <v>300</v>
      </c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39"/>
      <c r="B747" s="19">
        <v>2.0</v>
      </c>
      <c r="C747" s="57">
        <v>7.0</v>
      </c>
      <c r="D747" s="58">
        <v>0.0</v>
      </c>
      <c r="E747" s="59">
        <f t="shared" si="76"/>
        <v>2</v>
      </c>
      <c r="F747" s="60">
        <v>0.5</v>
      </c>
      <c r="G747" s="61">
        <f t="shared" si="77"/>
        <v>10.5</v>
      </c>
      <c r="H747" s="81">
        <v>13.0</v>
      </c>
      <c r="I747" s="63">
        <f t="shared" si="78"/>
        <v>26</v>
      </c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39"/>
      <c r="B748" s="19">
        <v>1.0</v>
      </c>
      <c r="C748" s="57">
        <v>9.06</v>
      </c>
      <c r="D748" s="58">
        <v>0.0</v>
      </c>
      <c r="E748" s="59">
        <f t="shared" si="76"/>
        <v>1</v>
      </c>
      <c r="F748" s="60">
        <v>0.5</v>
      </c>
      <c r="G748" s="61">
        <f t="shared" si="77"/>
        <v>13.59</v>
      </c>
      <c r="H748" s="81">
        <v>15.0</v>
      </c>
      <c r="I748" s="63">
        <f t="shared" si="78"/>
        <v>15</v>
      </c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25"/>
      <c r="B749" s="19">
        <v>10.0</v>
      </c>
      <c r="C749" s="57">
        <v>0.62</v>
      </c>
      <c r="D749" s="58">
        <v>0.0</v>
      </c>
      <c r="E749" s="59">
        <f t="shared" si="76"/>
        <v>10</v>
      </c>
      <c r="F749" s="60">
        <v>0.5</v>
      </c>
      <c r="G749" s="61">
        <f t="shared" si="77"/>
        <v>0.93</v>
      </c>
      <c r="H749" s="81">
        <v>1.0</v>
      </c>
      <c r="I749" s="63">
        <f t="shared" si="78"/>
        <v>10</v>
      </c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25"/>
      <c r="B750" s="19">
        <v>3.0</v>
      </c>
      <c r="C750" s="57">
        <v>21.0</v>
      </c>
      <c r="D750" s="58">
        <v>0.0</v>
      </c>
      <c r="E750" s="59">
        <f t="shared" si="76"/>
        <v>3</v>
      </c>
      <c r="F750" s="60">
        <v>0.5</v>
      </c>
      <c r="G750" s="61">
        <f t="shared" si="77"/>
        <v>31.5</v>
      </c>
      <c r="H750" s="81">
        <v>30.0</v>
      </c>
      <c r="I750" s="63">
        <f t="shared" si="78"/>
        <v>90</v>
      </c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38" t="s">
        <v>1271</v>
      </c>
      <c r="B751" s="52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25"/>
      <c r="B752" s="19">
        <v>2.0</v>
      </c>
      <c r="C752" s="57">
        <v>7.72</v>
      </c>
      <c r="D752" s="58">
        <v>0.0</v>
      </c>
      <c r="E752" s="59">
        <f t="shared" ref="E752:E761" si="79">+B752-D752</f>
        <v>2</v>
      </c>
      <c r="F752" s="60">
        <v>0.5</v>
      </c>
      <c r="G752" s="61">
        <f t="shared" ref="G752:G761" si="80">C752+(C752*F752)</f>
        <v>11.58</v>
      </c>
      <c r="H752" s="81">
        <v>13.0</v>
      </c>
      <c r="I752" s="63">
        <f t="shared" ref="I752:I761" si="81">+E752*H752</f>
        <v>26</v>
      </c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25"/>
      <c r="B753" s="19">
        <v>2.0</v>
      </c>
      <c r="C753" s="57">
        <v>6.27</v>
      </c>
      <c r="D753" s="58">
        <v>0.0</v>
      </c>
      <c r="E753" s="59">
        <f t="shared" si="79"/>
        <v>2</v>
      </c>
      <c r="F753" s="60">
        <v>0.5</v>
      </c>
      <c r="G753" s="61">
        <f t="shared" si="80"/>
        <v>9.405</v>
      </c>
      <c r="H753" s="81">
        <v>10.0</v>
      </c>
      <c r="I753" s="63">
        <f t="shared" si="81"/>
        <v>20</v>
      </c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25"/>
      <c r="B754" s="19">
        <v>1.0</v>
      </c>
      <c r="C754" s="57">
        <v>4.47</v>
      </c>
      <c r="D754" s="58">
        <v>0.0</v>
      </c>
      <c r="E754" s="59">
        <f t="shared" si="79"/>
        <v>1</v>
      </c>
      <c r="F754" s="60">
        <v>0.5</v>
      </c>
      <c r="G754" s="61">
        <f t="shared" si="80"/>
        <v>6.705</v>
      </c>
      <c r="H754" s="81">
        <v>10.0</v>
      </c>
      <c r="I754" s="63">
        <f t="shared" si="81"/>
        <v>10</v>
      </c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38" t="s">
        <v>1237</v>
      </c>
      <c r="B755" s="19">
        <v>1.0</v>
      </c>
      <c r="C755" s="57">
        <v>5.27</v>
      </c>
      <c r="D755" s="58">
        <v>0.0</v>
      </c>
      <c r="E755" s="59">
        <f t="shared" si="79"/>
        <v>1</v>
      </c>
      <c r="F755" s="60">
        <v>0.5</v>
      </c>
      <c r="G755" s="61">
        <f t="shared" si="80"/>
        <v>7.905</v>
      </c>
      <c r="H755" s="81">
        <v>10.0</v>
      </c>
      <c r="I755" s="63">
        <f t="shared" si="81"/>
        <v>10</v>
      </c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38" t="s">
        <v>1272</v>
      </c>
      <c r="B756" s="19">
        <v>1.0</v>
      </c>
      <c r="C756" s="57">
        <v>10.43</v>
      </c>
      <c r="D756" s="58">
        <v>0.0</v>
      </c>
      <c r="E756" s="59">
        <f t="shared" si="79"/>
        <v>1</v>
      </c>
      <c r="F756" s="60">
        <v>0.5</v>
      </c>
      <c r="G756" s="61">
        <f t="shared" si="80"/>
        <v>15.645</v>
      </c>
      <c r="H756" s="81">
        <v>15.0</v>
      </c>
      <c r="I756" s="63">
        <f t="shared" si="81"/>
        <v>15</v>
      </c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38" t="s">
        <v>1240</v>
      </c>
      <c r="B757" s="19">
        <v>1.0</v>
      </c>
      <c r="C757" s="57">
        <v>10.43</v>
      </c>
      <c r="D757" s="58">
        <v>0.0</v>
      </c>
      <c r="E757" s="59">
        <f t="shared" si="79"/>
        <v>1</v>
      </c>
      <c r="F757" s="60">
        <v>0.5</v>
      </c>
      <c r="G757" s="61">
        <f t="shared" si="80"/>
        <v>15.645</v>
      </c>
      <c r="H757" s="81">
        <v>15.0</v>
      </c>
      <c r="I757" s="63">
        <f t="shared" si="81"/>
        <v>15</v>
      </c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38" t="s">
        <v>1241</v>
      </c>
      <c r="B758" s="19">
        <v>1.0</v>
      </c>
      <c r="C758" s="57">
        <v>8.91</v>
      </c>
      <c r="D758" s="58">
        <v>0.0</v>
      </c>
      <c r="E758" s="59">
        <f t="shared" si="79"/>
        <v>1</v>
      </c>
      <c r="F758" s="60">
        <v>0.5</v>
      </c>
      <c r="G758" s="61">
        <f t="shared" si="80"/>
        <v>13.365</v>
      </c>
      <c r="H758" s="81">
        <v>15.0</v>
      </c>
      <c r="I758" s="63">
        <f t="shared" si="81"/>
        <v>15</v>
      </c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38" t="s">
        <v>1242</v>
      </c>
      <c r="B759" s="19">
        <v>1.0</v>
      </c>
      <c r="C759" s="57">
        <v>8.91</v>
      </c>
      <c r="D759" s="58">
        <v>0.0</v>
      </c>
      <c r="E759" s="59">
        <f t="shared" si="79"/>
        <v>1</v>
      </c>
      <c r="F759" s="60">
        <v>0.5</v>
      </c>
      <c r="G759" s="61">
        <f t="shared" si="80"/>
        <v>13.365</v>
      </c>
      <c r="H759" s="81">
        <v>15.0</v>
      </c>
      <c r="I759" s="63">
        <f t="shared" si="81"/>
        <v>15</v>
      </c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25"/>
      <c r="B760" s="19">
        <v>1.0</v>
      </c>
      <c r="C760" s="57">
        <v>8.91</v>
      </c>
      <c r="D760" s="58">
        <v>0.0</v>
      </c>
      <c r="E760" s="59">
        <f t="shared" si="79"/>
        <v>1</v>
      </c>
      <c r="F760" s="60">
        <v>0.5</v>
      </c>
      <c r="G760" s="61">
        <f t="shared" si="80"/>
        <v>13.365</v>
      </c>
      <c r="H760" s="121"/>
      <c r="I760" s="63">
        <f t="shared" si="81"/>
        <v>0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38" t="s">
        <v>1162</v>
      </c>
      <c r="B761" s="19">
        <v>1.0</v>
      </c>
      <c r="C761" s="57">
        <v>8.91</v>
      </c>
      <c r="D761" s="58">
        <v>0.0</v>
      </c>
      <c r="E761" s="59">
        <f t="shared" si="79"/>
        <v>1</v>
      </c>
      <c r="F761" s="60">
        <v>0.5</v>
      </c>
      <c r="G761" s="61">
        <f t="shared" si="80"/>
        <v>13.365</v>
      </c>
      <c r="H761" s="121"/>
      <c r="I761" s="63">
        <f t="shared" si="81"/>
        <v>0</v>
      </c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38" t="s">
        <v>1162</v>
      </c>
      <c r="B762" s="52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39"/>
      <c r="B763" s="52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39"/>
      <c r="B764" s="52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39"/>
      <c r="B765" s="19">
        <v>1.0</v>
      </c>
      <c r="C765" s="57">
        <v>0.12</v>
      </c>
      <c r="D765" s="58">
        <v>0.0</v>
      </c>
      <c r="E765" s="59">
        <f t="shared" ref="E765:E767" si="82">+B765-D765</f>
        <v>1</v>
      </c>
      <c r="F765" s="60">
        <v>0.5</v>
      </c>
      <c r="G765" s="61">
        <v>1.5</v>
      </c>
      <c r="H765" s="81">
        <v>10.0</v>
      </c>
      <c r="I765" s="63">
        <f t="shared" ref="I765:I767" si="83">+E765*H765</f>
        <v>10</v>
      </c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39"/>
      <c r="B766" s="19">
        <v>1.0</v>
      </c>
      <c r="C766" s="57">
        <v>0.25</v>
      </c>
      <c r="D766" s="58">
        <v>0.0</v>
      </c>
      <c r="E766" s="59">
        <f t="shared" si="82"/>
        <v>1</v>
      </c>
      <c r="F766" s="60">
        <v>0.5</v>
      </c>
      <c r="G766" s="61">
        <v>2.0</v>
      </c>
      <c r="H766" s="81">
        <v>10.0</v>
      </c>
      <c r="I766" s="63">
        <f t="shared" si="83"/>
        <v>10</v>
      </c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56" t="s">
        <v>1163</v>
      </c>
      <c r="B767" s="19">
        <v>1.0</v>
      </c>
      <c r="C767" s="57">
        <v>0.27</v>
      </c>
      <c r="D767" s="58">
        <v>0.0</v>
      </c>
      <c r="E767" s="59">
        <f t="shared" si="82"/>
        <v>1</v>
      </c>
      <c r="F767" s="60">
        <v>0.5</v>
      </c>
      <c r="G767" s="61">
        <v>2.0</v>
      </c>
      <c r="H767" s="81">
        <v>10.0</v>
      </c>
      <c r="I767" s="63">
        <f t="shared" si="83"/>
        <v>10</v>
      </c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56" t="s">
        <v>1164</v>
      </c>
      <c r="B768" s="69"/>
      <c r="C768" s="85"/>
      <c r="D768" s="68"/>
      <c r="E768" s="126"/>
      <c r="F768" s="112"/>
      <c r="G768" s="113"/>
      <c r="H768" s="121"/>
      <c r="I768" s="127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56" t="s">
        <v>1165</v>
      </c>
      <c r="B769" s="52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56" t="s">
        <v>1166</v>
      </c>
      <c r="B770" s="52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38" t="s">
        <v>1167</v>
      </c>
      <c r="B771" s="52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38" t="s">
        <v>1168</v>
      </c>
      <c r="B772" s="52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38" t="s">
        <v>1169</v>
      </c>
      <c r="B773" s="52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38" t="s">
        <v>1170</v>
      </c>
      <c r="B774" s="52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38" t="s">
        <v>1171</v>
      </c>
      <c r="B775" s="52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41" t="s">
        <v>1172</v>
      </c>
      <c r="B776" s="52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38" t="s">
        <v>1173</v>
      </c>
      <c r="B777" s="52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38" t="s">
        <v>1174</v>
      </c>
      <c r="B778" s="52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38" t="s">
        <v>1175</v>
      </c>
      <c r="B779" s="52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45"/>
      <c r="B780" s="52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39"/>
      <c r="B781" s="52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38" t="s">
        <v>1273</v>
      </c>
      <c r="B782" s="52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38" t="s">
        <v>1274</v>
      </c>
      <c r="B783" s="52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39"/>
      <c r="B784" s="52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39"/>
      <c r="B785" s="52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39"/>
      <c r="B786" s="52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38" t="s">
        <v>1243</v>
      </c>
      <c r="B787" s="52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38" t="s">
        <v>1244</v>
      </c>
      <c r="B788" s="52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38" t="s">
        <v>1245</v>
      </c>
      <c r="B789" s="52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38" t="s">
        <v>1246</v>
      </c>
      <c r="B790" s="52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38" t="s">
        <v>1248</v>
      </c>
      <c r="B791" s="52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38" t="s">
        <v>1249</v>
      </c>
      <c r="B792" s="52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38" t="s">
        <v>1250</v>
      </c>
      <c r="B793" s="52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25"/>
      <c r="B794" s="52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39"/>
      <c r="B795" s="52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38" t="s">
        <v>1275</v>
      </c>
      <c r="B796" s="52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38" t="s">
        <v>1276</v>
      </c>
      <c r="B797" s="52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38" t="s">
        <v>1191</v>
      </c>
      <c r="B798" s="52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38" t="s">
        <v>1193</v>
      </c>
      <c r="B799" s="52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38" t="s">
        <v>1194</v>
      </c>
      <c r="B800" s="52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38" t="s">
        <v>1195</v>
      </c>
      <c r="B801" s="52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38" t="s">
        <v>1196</v>
      </c>
      <c r="B802" s="52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38" t="s">
        <v>1197</v>
      </c>
      <c r="B803" s="52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25"/>
      <c r="B804" s="52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25"/>
      <c r="B805" s="52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39"/>
      <c r="B806" s="52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39"/>
      <c r="B807" s="52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39"/>
      <c r="B808" s="52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38" t="s">
        <v>1277</v>
      </c>
      <c r="B809" s="52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38" t="s">
        <v>1278</v>
      </c>
      <c r="B810" s="52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38" t="s">
        <v>1279</v>
      </c>
      <c r="B811" s="52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25"/>
      <c r="B812" s="52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39"/>
      <c r="B813" s="52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39"/>
      <c r="B814" s="52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39"/>
      <c r="B815" s="52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39"/>
      <c r="B816" s="52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39"/>
      <c r="B817" s="52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39"/>
      <c r="B818" s="52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39"/>
      <c r="B819" s="52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39"/>
      <c r="B820" s="52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39"/>
      <c r="B821" s="52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39"/>
      <c r="B822" s="52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39"/>
      <c r="B823" s="52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39"/>
      <c r="B824" s="52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39"/>
      <c r="B825" s="52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39"/>
      <c r="B826" s="52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39"/>
      <c r="B827" s="52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39"/>
      <c r="B828" s="52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39"/>
      <c r="B829" s="52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39"/>
      <c r="B830" s="52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39"/>
      <c r="B831" s="52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39"/>
      <c r="B832" s="52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39"/>
      <c r="B833" s="52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39"/>
      <c r="B834" s="52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39"/>
      <c r="B835" s="52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39"/>
      <c r="B836" s="52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39"/>
      <c r="B837" s="52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39"/>
      <c r="B838" s="52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39"/>
      <c r="B839" s="52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39"/>
      <c r="B840" s="52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39"/>
      <c r="B841" s="52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39"/>
      <c r="B842" s="52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39"/>
      <c r="B843" s="52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39"/>
      <c r="B844" s="52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39"/>
      <c r="B845" s="52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39"/>
      <c r="B846" s="52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39"/>
      <c r="B847" s="52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39"/>
      <c r="B848" s="52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39"/>
      <c r="B849" s="52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39"/>
      <c r="B850" s="52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39"/>
      <c r="B851" s="52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39"/>
      <c r="B852" s="52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39"/>
      <c r="B853" s="52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39"/>
      <c r="B854" s="52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39"/>
      <c r="B855" s="52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39"/>
      <c r="B856" s="52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39"/>
      <c r="B857" s="52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39"/>
      <c r="B858" s="52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39"/>
      <c r="B859" s="52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39"/>
      <c r="B860" s="52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39"/>
      <c r="B861" s="52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39"/>
      <c r="B862" s="52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39"/>
      <c r="B863" s="52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39"/>
      <c r="B864" s="52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39"/>
      <c r="B865" s="52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39"/>
      <c r="B866" s="52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39"/>
      <c r="B867" s="52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39"/>
      <c r="B868" s="52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39"/>
      <c r="B869" s="52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39"/>
      <c r="B870" s="52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39"/>
      <c r="B871" s="52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39"/>
      <c r="B872" s="52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39"/>
      <c r="B873" s="52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39"/>
      <c r="B874" s="52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39"/>
      <c r="B875" s="52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39"/>
      <c r="B876" s="52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39"/>
      <c r="B877" s="52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39"/>
      <c r="B878" s="52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39"/>
      <c r="B879" s="52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39"/>
      <c r="B880" s="52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39"/>
      <c r="B881" s="52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39"/>
      <c r="B882" s="52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39"/>
      <c r="B883" s="52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39"/>
      <c r="B884" s="52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39"/>
      <c r="B885" s="52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39"/>
      <c r="B886" s="52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39"/>
      <c r="B887" s="52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39"/>
      <c r="B888" s="52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39"/>
      <c r="B889" s="52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39"/>
      <c r="B890" s="52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39"/>
      <c r="B891" s="52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39"/>
      <c r="B892" s="52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39"/>
      <c r="B893" s="52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39"/>
      <c r="B894" s="52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39"/>
      <c r="B895" s="52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39"/>
      <c r="B896" s="52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39"/>
      <c r="B897" s="52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39"/>
      <c r="B898" s="52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39"/>
      <c r="B899" s="52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39"/>
      <c r="B900" s="52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39"/>
      <c r="B901" s="52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39"/>
      <c r="B902" s="52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39"/>
      <c r="B903" s="52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39"/>
      <c r="B904" s="52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39"/>
      <c r="B905" s="52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39"/>
      <c r="B906" s="52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39"/>
      <c r="B907" s="52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39"/>
      <c r="B908" s="52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39"/>
      <c r="B909" s="52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39"/>
      <c r="B910" s="52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39"/>
      <c r="B911" s="52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39"/>
      <c r="B912" s="52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39"/>
      <c r="B913" s="52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39"/>
      <c r="B914" s="52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39"/>
      <c r="B915" s="52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39"/>
      <c r="B916" s="52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39"/>
      <c r="B917" s="52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39"/>
      <c r="B918" s="52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39"/>
      <c r="B919" s="52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39"/>
      <c r="B920" s="52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39"/>
      <c r="B921" s="52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39"/>
      <c r="B922" s="52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39"/>
      <c r="B923" s="52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39"/>
      <c r="B924" s="52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39"/>
      <c r="B925" s="52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39"/>
      <c r="B926" s="52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39"/>
      <c r="B927" s="52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39"/>
      <c r="B928" s="52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39"/>
      <c r="B929" s="52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39"/>
      <c r="B930" s="52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39"/>
      <c r="B931" s="52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39"/>
      <c r="B932" s="52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39"/>
      <c r="B933" s="52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39"/>
      <c r="B934" s="52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39"/>
      <c r="B935" s="52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39"/>
      <c r="B936" s="52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39"/>
      <c r="B937" s="52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39"/>
      <c r="B938" s="52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39"/>
      <c r="B939" s="52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39"/>
      <c r="B940" s="52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39"/>
      <c r="B941" s="52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39"/>
      <c r="B942" s="52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39"/>
      <c r="B943" s="52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39"/>
      <c r="B944" s="52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39"/>
      <c r="B945" s="52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39"/>
      <c r="B946" s="52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39"/>
      <c r="B947" s="52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39"/>
      <c r="B948" s="52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39"/>
      <c r="B949" s="52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39"/>
      <c r="B950" s="52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39"/>
      <c r="B951" s="52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39"/>
      <c r="B952" s="52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39"/>
      <c r="B953" s="52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39"/>
      <c r="B954" s="52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39"/>
      <c r="B955" s="52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39"/>
      <c r="B956" s="52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39"/>
      <c r="B957" s="52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39"/>
      <c r="B958" s="52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39"/>
      <c r="B959" s="52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39"/>
      <c r="B960" s="52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39"/>
      <c r="B961" s="52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39"/>
      <c r="B962" s="52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39"/>
      <c r="B963" s="52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39"/>
      <c r="B964" s="52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39"/>
      <c r="B965" s="52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39"/>
      <c r="B966" s="52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39"/>
      <c r="B967" s="52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39"/>
      <c r="B968" s="52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39"/>
      <c r="B969" s="52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39"/>
      <c r="B970" s="52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39"/>
      <c r="B971" s="52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39"/>
      <c r="B972" s="52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39"/>
      <c r="B973" s="52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39"/>
      <c r="B974" s="52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39"/>
      <c r="B975" s="52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39"/>
      <c r="B976" s="52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39"/>
      <c r="B977" s="52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39"/>
      <c r="B978" s="52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39"/>
      <c r="B979" s="52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39"/>
      <c r="B980" s="52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39"/>
      <c r="B981" s="52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39"/>
      <c r="B982" s="52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39"/>
      <c r="B983" s="52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39"/>
      <c r="B984" s="52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39"/>
      <c r="B985" s="52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39"/>
      <c r="B986" s="52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39"/>
      <c r="B987" s="52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39"/>
      <c r="B988" s="52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39"/>
      <c r="B989" s="52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39"/>
      <c r="B990" s="52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39"/>
      <c r="B991" s="52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39"/>
      <c r="B992" s="52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39"/>
      <c r="B993" s="52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39"/>
      <c r="B994" s="52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39"/>
      <c r="B995" s="52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39"/>
      <c r="B996" s="52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39"/>
      <c r="B997" s="52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39"/>
      <c r="B998" s="52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39"/>
      <c r="B999" s="52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39"/>
      <c r="B1000" s="52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mergeCells count="10">
    <mergeCell ref="A259:I259"/>
    <mergeCell ref="A288:I288"/>
    <mergeCell ref="A326:I326"/>
    <mergeCell ref="A1:I1"/>
    <mergeCell ref="A36:I36"/>
    <mergeCell ref="A76:I76"/>
    <mergeCell ref="A155:I155"/>
    <mergeCell ref="A169:I169"/>
    <mergeCell ref="A179:I179"/>
    <mergeCell ref="A234:I2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2026-06-14T23:39:47Z</dcterms:created>
  <dc:creator>openpyxl</dc:creator>
</cp:coreProperties>
</file>